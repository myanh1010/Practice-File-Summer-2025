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F95A425-0FAD-4866-9A19-67081E080B32}" xr6:coauthVersionLast="45" xr6:coauthVersionMax="45" xr10:uidLastSave="{00000000-0000-0000-0000-000000000000}"/>
  <bookViews>
    <workbookView xWindow="-110" yWindow="-110" windowWidth="19420" windowHeight="10300" xr2:uid="{3FE7B5C0-B42D-4E88-93B4-871A9EA9FD2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2" l="1"/>
  <c r="E19" i="2"/>
  <c r="C15" i="2"/>
  <c r="D20" i="2" s="1"/>
  <c r="C14" i="2"/>
  <c r="E20" i="2" l="1"/>
</calcChain>
</file>

<file path=xl/sharedStrings.xml><?xml version="1.0" encoding="utf-8"?>
<sst xmlns="http://schemas.openxmlformats.org/spreadsheetml/2006/main" count="32" uniqueCount="29">
  <si>
    <t>A company is evaluating two advertising campaigns by testing them on different customer groups.</t>
  </si>
  <si>
    <t>Strategy</t>
  </si>
  <si>
    <t>Response Rate</t>
  </si>
  <si>
    <t>Sample Size</t>
  </si>
  <si>
    <t>Campaign X</t>
  </si>
  <si>
    <t>Campaign Y</t>
  </si>
  <si>
    <t>Questions:</t>
  </si>
  <si>
    <t>1. Calculate the 95% confidence interval for the response rate of each campaign.</t>
  </si>
  <si>
    <t>2. Determine whether the difference in response rates between Campaign X and Campaign Y is statistically significant.</t>
  </si>
  <si>
    <t>3. Which campaign should the company scale up based on the statistical analysis?</t>
  </si>
  <si>
    <t>For binominal distribution:</t>
  </si>
  <si>
    <t>STD</t>
  </si>
  <si>
    <t>SQRT((response rate*(1-response rate))/sample size)</t>
  </si>
  <si>
    <t>STD (campaign X)</t>
  </si>
  <si>
    <t>STD (campaign Y)</t>
  </si>
  <si>
    <t>For a 95% confidence interval, the formula</t>
  </si>
  <si>
    <t>CI = the response rate +/- 2*STD</t>
  </si>
  <si>
    <t>CI =</t>
  </si>
  <si>
    <t>Thus, confidence interval for campaign X is [5.23%,7.77%] and for campaign Y is [4.16%,5.44%]</t>
  </si>
  <si>
    <t>The confidence intervals for Camgaign X and Y overlap</t>
  </si>
  <si>
    <t>Because the upper bound of Campaign Y is 5.44%, which falls within the range from 5.23% and 7.77% (Campaign X confidence interval)</t>
  </si>
  <si>
    <r>
      <t xml:space="preserve">The difference in response rates is </t>
    </r>
    <r>
      <rPr>
        <b/>
        <sz val="14"/>
        <color theme="1"/>
        <rFont val="Calibri"/>
        <family val="2"/>
        <scheme val="minor"/>
      </rPr>
      <t>statistically significant</t>
    </r>
    <r>
      <rPr>
        <sz val="14"/>
        <color theme="1"/>
        <rFont val="Calibri"/>
        <family val="2"/>
        <scheme val="minor"/>
      </rPr>
      <t xml:space="preserve"> if the confidence intervals for the two campaigns do not overlap</t>
    </r>
  </si>
  <si>
    <t>Thus, the difference in response rates is not statistically significant</t>
  </si>
  <si>
    <t>Cannot be 95% confident that the higher response rate of Campaign X is a result of the campaign itself, not due to random chance</t>
  </si>
  <si>
    <t>Based on the statistical analysis, the company should scale up Campaign Y</t>
  </si>
  <si>
    <t>The confidence interval for Campaign Y is much narrowerer, so its response rate is more stable and closer to the true mean.</t>
  </si>
  <si>
    <t>Can confidently predict the performance of Campaign Y because of its smaller standard deviation.</t>
  </si>
  <si>
    <t>Campaign Y, despite its lower response rate, is likely a more reliable option to scale up due to its larger sample size, reducing the investment risk based on a result that could be a fluke</t>
  </si>
  <si>
    <t xml:space="preserve">Although Campaign X had a higher response rate (6.5%) compared to Campaign Y (4.8%), the larger sample size of Campaign Y (4,500 vs 1,500) makes its results more reliable and less volatile.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</si>
</sst>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262626"/>
      <name val="Arial"/>
      <family val="2"/>
    </font>
    <font>
      <sz val="14"/>
      <color theme="1"/>
      <name val="Calibri"/>
      <family val="2"/>
      <scheme val="minor"/>
    </font>
    <font>
      <b/>
      <sz val="14"/>
      <color rgb="FF262626"/>
      <name val="Inherit"/>
    </font>
    <font>
      <sz val="14"/>
      <color rgb="FF262626"/>
      <name val="Inherit"/>
    </font>
    <font>
      <b/>
      <sz val="14"/>
      <color rgb="FF262626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10" fontId="5" fillId="2" borderId="1" xfId="0" applyNumberFormat="1" applyFont="1" applyFill="1" applyBorder="1" applyAlignment="1">
      <alignment vertical="center" wrapText="1"/>
    </xf>
    <xf numFmtId="3" fontId="5" fillId="2" borderId="1" xfId="0" applyNumberFormat="1" applyFont="1" applyFill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164" fontId="3" fillId="0" borderId="0" xfId="1" applyNumberFormat="1" applyFont="1"/>
    <xf numFmtId="0" fontId="7" fillId="0" borderId="0" xfId="0" applyFont="1"/>
    <xf numFmtId="0" fontId="7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42EF-54CF-40C4-A6D6-5E5E222FE5A3}">
  <dimension ref="A2:E35"/>
  <sheetViews>
    <sheetView tabSelected="1" topLeftCell="A13" workbookViewId="0">
      <selection activeCell="B26" sqref="B26"/>
    </sheetView>
  </sheetViews>
  <sheetFormatPr defaultRowHeight="18.5"/>
  <cols>
    <col min="1" max="1" width="8.7265625" style="3"/>
    <col min="2" max="2" width="20" style="3" customWidth="1"/>
    <col min="3" max="3" width="17.81640625" style="3" customWidth="1"/>
    <col min="4" max="4" width="11.7265625" style="3" customWidth="1"/>
    <col min="5" max="5" width="13.54296875" style="3" customWidth="1"/>
    <col min="6" max="16384" width="8.7265625" style="3"/>
  </cols>
  <sheetData>
    <row r="2" spans="1:4">
      <c r="B2" s="2" t="s">
        <v>0</v>
      </c>
    </row>
    <row r="3" spans="1:4">
      <c r="B3" s="4"/>
    </row>
    <row r="4" spans="1:4" ht="36">
      <c r="B4" s="5" t="s">
        <v>1</v>
      </c>
      <c r="C4" s="5" t="s">
        <v>2</v>
      </c>
      <c r="D4" s="5" t="s">
        <v>3</v>
      </c>
    </row>
    <row r="5" spans="1:4">
      <c r="B5" s="6" t="s">
        <v>4</v>
      </c>
      <c r="C5" s="7">
        <v>6.5000000000000002E-2</v>
      </c>
      <c r="D5" s="8">
        <v>1500</v>
      </c>
    </row>
    <row r="6" spans="1:4">
      <c r="B6" s="6" t="s">
        <v>5</v>
      </c>
      <c r="C6" s="7">
        <v>4.8000000000000001E-2</v>
      </c>
      <c r="D6" s="8">
        <v>4500</v>
      </c>
    </row>
    <row r="7" spans="1:4">
      <c r="B7" s="9" t="s">
        <v>6</v>
      </c>
    </row>
    <row r="8" spans="1:4">
      <c r="B8" s="10" t="s">
        <v>7</v>
      </c>
    </row>
    <row r="9" spans="1:4">
      <c r="B9" s="10" t="s">
        <v>8</v>
      </c>
    </row>
    <row r="10" spans="1:4">
      <c r="B10" s="10" t="s">
        <v>9</v>
      </c>
    </row>
    <row r="12" spans="1:4">
      <c r="A12" s="3">
        <v>1</v>
      </c>
      <c r="B12" s="3" t="s">
        <v>10</v>
      </c>
    </row>
    <row r="13" spans="1:4">
      <c r="B13" s="3" t="s">
        <v>11</v>
      </c>
      <c r="C13" s="3" t="s">
        <v>12</v>
      </c>
    </row>
    <row r="14" spans="1:4">
      <c r="B14" s="12" t="s">
        <v>13</v>
      </c>
      <c r="C14" s="13">
        <f>SQRT((C5*(1-C5))/D5)</f>
        <v>6.3652703529910393E-3</v>
      </c>
    </row>
    <row r="15" spans="1:4">
      <c r="B15" s="12" t="s">
        <v>14</v>
      </c>
      <c r="C15" s="13">
        <f>SQRT((C6*(1-C6))/D6)</f>
        <v>3.186638772541793E-3</v>
      </c>
    </row>
    <row r="17" spans="1:5">
      <c r="B17" s="3" t="s">
        <v>15</v>
      </c>
      <c r="E17" s="12" t="s">
        <v>16</v>
      </c>
    </row>
    <row r="19" spans="1:5">
      <c r="B19" s="3" t="s">
        <v>4</v>
      </c>
      <c r="C19" s="3" t="s">
        <v>17</v>
      </c>
      <c r="D19" s="11">
        <f>C5-(2*C14)</f>
        <v>5.2269459294017925E-2</v>
      </c>
      <c r="E19" s="11">
        <f>C5+(2*C14)</f>
        <v>7.7730540705982079E-2</v>
      </c>
    </row>
    <row r="20" spans="1:5">
      <c r="B20" s="3" t="s">
        <v>5</v>
      </c>
      <c r="C20" s="3" t="s">
        <v>17</v>
      </c>
      <c r="D20" s="11">
        <f>C6-2*C15</f>
        <v>4.1626722454916415E-2</v>
      </c>
      <c r="E20" s="11">
        <f>C6+2*C15</f>
        <v>5.4373277545083587E-2</v>
      </c>
    </row>
    <row r="22" spans="1:5">
      <c r="B22" s="3" t="s">
        <v>18</v>
      </c>
    </row>
    <row r="24" spans="1:5">
      <c r="A24" s="3">
        <v>2</v>
      </c>
      <c r="B24" s="3" t="s">
        <v>21</v>
      </c>
    </row>
    <row r="25" spans="1:5">
      <c r="B25" s="3" t="s">
        <v>19</v>
      </c>
    </row>
    <row r="26" spans="1:5">
      <c r="B26" s="3" t="s">
        <v>20</v>
      </c>
    </row>
    <row r="27" spans="1:5">
      <c r="B27" s="3" t="s">
        <v>22</v>
      </c>
    </row>
    <row r="28" spans="1:5">
      <c r="B28" s="3" t="s">
        <v>23</v>
      </c>
    </row>
    <row r="29" spans="1:5">
      <c r="B29" s="1"/>
    </row>
    <row r="30" spans="1:5">
      <c r="A30" s="3">
        <v>3</v>
      </c>
      <c r="B30"/>
    </row>
    <row r="31" spans="1:5">
      <c r="B31" s="3" t="s">
        <v>24</v>
      </c>
    </row>
    <row r="32" spans="1:5">
      <c r="B32" s="3" t="s">
        <v>28</v>
      </c>
    </row>
    <row r="33" spans="2:2">
      <c r="B33" s="12" t="s">
        <v>25</v>
      </c>
    </row>
    <row r="34" spans="2:2">
      <c r="B34" s="3" t="s">
        <v>27</v>
      </c>
    </row>
    <row r="35" spans="2:2">
      <c r="B35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2025-08-15T21:15:27Z</dcterms:created>
  <dcterms:modified xsi:type="dcterms:W3CDTF">2025-08-15T22:38:03Z</dcterms:modified>
</cp:coreProperties>
</file>