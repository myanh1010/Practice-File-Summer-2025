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43A22E6-7236-4521-8A91-E103D8181801}" xr6:coauthVersionLast="45" xr6:coauthVersionMax="45" xr10:uidLastSave="{00000000-0000-0000-0000-000000000000}"/>
  <bookViews>
    <workbookView xWindow="-110" yWindow="-110" windowWidth="19420" windowHeight="10300" activeTab="1" xr2:uid="{5C70D887-FE9C-416E-8173-5D900AC8E38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1" i="2" l="1"/>
  <c r="K39" i="2" l="1"/>
  <c r="J27" i="2"/>
  <c r="L21" i="2"/>
  <c r="K21" i="2"/>
  <c r="N21" i="2"/>
  <c r="M21" i="2"/>
  <c r="K27" i="2"/>
  <c r="C21" i="2"/>
  <c r="K20" i="2"/>
  <c r="L20" i="2" s="1"/>
  <c r="M20" i="2" s="1"/>
  <c r="N20" i="2" s="1"/>
  <c r="J29" i="2"/>
  <c r="L22" i="2"/>
  <c r="M22" i="2" s="1"/>
  <c r="N22" i="2" s="1"/>
  <c r="K22" i="2"/>
  <c r="C29" i="2"/>
  <c r="B29" i="2"/>
  <c r="B27" i="2"/>
  <c r="B23" i="2"/>
  <c r="D22" i="2"/>
  <c r="E22" i="2"/>
  <c r="F22" i="2"/>
  <c r="C22" i="2"/>
  <c r="J23" i="2"/>
  <c r="C27" i="2"/>
  <c r="J30" i="2" l="1"/>
  <c r="C23" i="2"/>
  <c r="C30" i="2" s="1"/>
  <c r="B30" i="2"/>
  <c r="K23" i="2"/>
  <c r="D21" i="2"/>
  <c r="B14" i="1"/>
  <c r="F14" i="1"/>
  <c r="K29" i="2" l="1"/>
  <c r="K30" i="2" s="1"/>
  <c r="K31" i="2" s="1"/>
  <c r="D27" i="2"/>
  <c r="D23" i="2"/>
  <c r="E21" i="2"/>
  <c r="L27" i="2"/>
  <c r="L23" i="2"/>
  <c r="F21" i="1"/>
  <c r="E21" i="1"/>
  <c r="D21" i="1"/>
  <c r="C21" i="1"/>
  <c r="B21" i="1"/>
  <c r="C20" i="1"/>
  <c r="D20" i="1"/>
  <c r="E20" i="1"/>
  <c r="F20" i="1"/>
  <c r="B20" i="1"/>
  <c r="K18" i="1"/>
  <c r="L18" i="1"/>
  <c r="M18" i="1"/>
  <c r="N18" i="1"/>
  <c r="B18" i="1"/>
  <c r="J18" i="1"/>
  <c r="I28" i="1" s="1"/>
  <c r="C18" i="1"/>
  <c r="D18" i="1"/>
  <c r="E18" i="1"/>
  <c r="F18" i="1"/>
  <c r="N12" i="1"/>
  <c r="M12" i="1"/>
  <c r="L12" i="1"/>
  <c r="K12" i="1"/>
  <c r="C12" i="1"/>
  <c r="L11" i="1"/>
  <c r="M11" i="1"/>
  <c r="N11" i="1"/>
  <c r="K11" i="1"/>
  <c r="J14" i="1"/>
  <c r="L29" i="2" l="1"/>
  <c r="L30" i="2" s="1"/>
  <c r="L31" i="2" s="1"/>
  <c r="D29" i="2"/>
  <c r="D30" i="2" s="1"/>
  <c r="E23" i="2"/>
  <c r="F21" i="2"/>
  <c r="E27" i="2"/>
  <c r="M23" i="2"/>
  <c r="M27" i="2"/>
  <c r="J20" i="1"/>
  <c r="J21" i="1" s="1"/>
  <c r="K14" i="1"/>
  <c r="K20" i="1" s="1"/>
  <c r="F23" i="2" l="1"/>
  <c r="F27" i="2"/>
  <c r="N27" i="2"/>
  <c r="N23" i="2"/>
  <c r="M29" i="2"/>
  <c r="M30" i="2" s="1"/>
  <c r="M31" i="2" s="1"/>
  <c r="E29" i="2"/>
  <c r="E30" i="2" s="1"/>
  <c r="J22" i="1"/>
  <c r="K21" i="1"/>
  <c r="C14" i="1"/>
  <c r="D12" i="1"/>
  <c r="L14" i="1"/>
  <c r="N29" i="2" l="1"/>
  <c r="N30" i="2" s="1"/>
  <c r="F29" i="2"/>
  <c r="F30" i="2" s="1"/>
  <c r="L21" i="1"/>
  <c r="K22" i="1"/>
  <c r="L20" i="1"/>
  <c r="D14" i="1"/>
  <c r="E12" i="1"/>
  <c r="M14" i="1"/>
  <c r="N31" i="2" l="1"/>
  <c r="M21" i="1"/>
  <c r="L22" i="1"/>
  <c r="M20" i="1"/>
  <c r="E14" i="1"/>
  <c r="F12" i="1"/>
  <c r="N14" i="1"/>
  <c r="N21" i="1" l="1"/>
  <c r="I27" i="1" s="1"/>
  <c r="I29" i="1" s="1"/>
  <c r="N22" i="1" s="1"/>
  <c r="M22" i="1"/>
  <c r="N20" i="1"/>
</calcChain>
</file>

<file path=xl/sharedStrings.xml><?xml version="1.0" encoding="utf-8"?>
<sst xmlns="http://schemas.openxmlformats.org/spreadsheetml/2006/main" count="91" uniqueCount="46">
  <si>
    <t>Company A has identified 12,000 high-value/high-risk customers.</t>
  </si>
  <si>
    <t>This group has a current retention rate of 80%.</t>
  </si>
  <si>
    <t>The average annual value per customer is $350. Company is currently spending $4/per existing customer</t>
  </si>
  <si>
    <t>Company A has a budget of $60,000 to improve retention.</t>
  </si>
  <si>
    <t>If the retention rate increases by 3% year over year and decreases the cost per existing customer to $2/per customer. Perform a 5-year LTV analysis and calculate cost, profit for the program</t>
  </si>
  <si>
    <t>Profits</t>
  </si>
  <si>
    <t>Retention Rate</t>
  </si>
  <si>
    <t># of Customers</t>
  </si>
  <si>
    <t>Cont. Margin/Customer (excluding marketing costs)</t>
  </si>
  <si>
    <t>Total Margin</t>
  </si>
  <si>
    <t>Costs</t>
  </si>
  <si>
    <t>Acquisition Costs</t>
  </si>
  <si>
    <t>Existing Customer Communication Costs/Customer</t>
  </si>
  <si>
    <t>Total Costs</t>
  </si>
  <si>
    <t>Net Results</t>
  </si>
  <si>
    <t>Annual Profit</t>
  </si>
  <si>
    <t>Cum. Profit</t>
  </si>
  <si>
    <t>Cum. ROI</t>
  </si>
  <si>
    <t>Yr. Over Yr. Retention</t>
  </si>
  <si>
    <t>Year (without program)</t>
  </si>
  <si>
    <t>Year (with program)</t>
  </si>
  <si>
    <t>Difference between applying program and not applying program</t>
  </si>
  <si>
    <t>(after 5 years)</t>
  </si>
  <si>
    <t>Cost of the program</t>
  </si>
  <si>
    <t>ROI</t>
  </si>
  <si>
    <t>Company C has identified a segment of 18,000 high-potential but declining engagement customers. Here's what they know:</t>
  </si>
  <si>
    <t>Initial retention rate: 70%</t>
  </si>
  <si>
    <t>Average annual revenue per customer: $300 in Year 1, expected to decrease by 3% per year</t>
  </si>
  <si>
    <t>Cost to maintain each retained customer: $6 per year</t>
  </si>
  <si>
    <t>The company is planning to launch a $100,000 retention improvement program in Year 1</t>
  </si>
  <si>
    <t>The program is expected to:</t>
  </si>
  <si>
    <t>Increase the retention rate by 3% per year (compounded annually)</t>
  </si>
  <si>
    <t>Reduce maintenance cost per customer to $4 starting in Year 3</t>
  </si>
  <si>
    <t>The $100,000 program cost is incurred only in Year 1</t>
  </si>
  <si>
    <t>Tasks:</t>
  </si>
  <si>
    <t>1. Calculate the number of retained customers at the end of each year for 5 years.</t>
  </si>
  <si>
    <t>2. Adjust the average revenue per customer each year based on the 3% annual decline.</t>
  </si>
  <si>
    <t>3. Calculate annual and total revenue, customer maintenance cost, program cost, and net profit (LTV) over the 5-year period.</t>
  </si>
  <si>
    <t>4. Compute the ROI for the program</t>
  </si>
  <si>
    <t>5. Based on your analysis, should the company scale this program to a larger segment? Justify your answer using ROI and profitability.</t>
  </si>
  <si>
    <t>)</t>
  </si>
  <si>
    <t>Based on this analysis, Company C should scale this program to a larger segment.</t>
  </si>
  <si>
    <t>Profitability: The program generates a positive incremental profit of approximately $578,190 over five years, demonstrating its long-term value.</t>
  </si>
  <si>
    <t>This significant return indicates that the program is highly effective at generating financial value beyond its costs, making it a viable and profitable long-term strategy.</t>
  </si>
  <si>
    <t>(Net profit =</t>
  </si>
  <si>
    <t xml:space="preserve">Return on Investment (ROI): While the initial ROI is negative, it turns positive in Year 3 and reaches an impressive 156.1% by Year 5.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</si>
</sst>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&quot;$&quot;* #,##0.0_);_(&quot;$&quot;* \(#,##0.0\);_(&quot;$&quot;* &quot;-&quot;??_);_(@_)"/>
    <numFmt numFmtId="167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262626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62626"/>
      <name val="Arial"/>
      <family val="2"/>
    </font>
    <font>
      <b/>
      <sz val="12"/>
      <color rgb="FF262626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FFFFFF"/>
      </right>
      <top style="medium">
        <color rgb="FF000000"/>
      </top>
      <bottom style="thick">
        <color rgb="FFFFFFFF"/>
      </bottom>
      <diagonal/>
    </border>
    <border>
      <left style="medium">
        <color rgb="FFFFFFFF"/>
      </left>
      <right/>
      <top style="medium">
        <color rgb="FF000000"/>
      </top>
      <bottom style="thick">
        <color rgb="FFFFFFFF"/>
      </bottom>
      <diagonal/>
    </border>
    <border>
      <left/>
      <right/>
      <top style="medium">
        <color rgb="FF000000"/>
      </top>
      <bottom style="thick">
        <color rgb="FFFFFFFF"/>
      </bottom>
      <diagonal/>
    </border>
    <border>
      <left/>
      <right style="medium">
        <color rgb="FF000000"/>
      </right>
      <top style="medium">
        <color rgb="FF000000"/>
      </top>
      <bottom style="thick">
        <color rgb="FFFFFFFF"/>
      </bottom>
      <diagonal/>
    </border>
    <border>
      <left style="medium">
        <color rgb="FF000000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thick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000000"/>
      </right>
      <top style="medium">
        <color rgb="FFFFFFFF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4" fillId="0" borderId="0" xfId="0" applyFont="1"/>
    <xf numFmtId="0" fontId="4" fillId="2" borderId="0" xfId="0" applyFont="1" applyFill="1"/>
    <xf numFmtId="0" fontId="8" fillId="0" borderId="0" xfId="0" applyFont="1" applyAlignment="1">
      <alignment horizontal="left" vertical="center"/>
    </xf>
    <xf numFmtId="0" fontId="0" fillId="0" borderId="0" xfId="0" applyFont="1"/>
    <xf numFmtId="0" fontId="2" fillId="0" borderId="1" xfId="0" applyFont="1" applyFill="1" applyBorder="1" applyAlignment="1">
      <alignment horizontal="center" wrapText="1" readingOrder="1"/>
    </xf>
    <xf numFmtId="0" fontId="3" fillId="0" borderId="0" xfId="0" applyFont="1" applyFill="1" applyAlignment="1">
      <alignment horizontal="center" readingOrder="1"/>
    </xf>
    <xf numFmtId="0" fontId="3" fillId="0" borderId="5" xfId="0" applyFont="1" applyFill="1" applyBorder="1" applyAlignment="1">
      <alignment horizontal="center" wrapText="1" readingOrder="1"/>
    </xf>
    <xf numFmtId="0" fontId="3" fillId="0" borderId="6" xfId="0" applyFont="1" applyFill="1" applyBorder="1" applyAlignment="1">
      <alignment horizontal="center" readingOrder="1"/>
    </xf>
    <xf numFmtId="0" fontId="3" fillId="0" borderId="7" xfId="0" applyFont="1" applyFill="1" applyBorder="1" applyAlignment="1">
      <alignment horizontal="center" readingOrder="1"/>
    </xf>
    <xf numFmtId="0" fontId="5" fillId="0" borderId="8" xfId="0" applyFont="1" applyFill="1" applyBorder="1" applyAlignment="1">
      <alignment horizontal="left" wrapText="1" readingOrder="1"/>
    </xf>
    <xf numFmtId="0" fontId="3" fillId="0" borderId="9" xfId="0" applyFont="1" applyFill="1" applyBorder="1" applyAlignment="1">
      <alignment horizontal="center" readingOrder="1"/>
    </xf>
    <xf numFmtId="9" fontId="5" fillId="0" borderId="9" xfId="0" applyNumberFormat="1" applyFont="1" applyFill="1" applyBorder="1" applyAlignment="1">
      <alignment horizontal="center" readingOrder="1"/>
    </xf>
    <xf numFmtId="0" fontId="6" fillId="0" borderId="10" xfId="0" applyFont="1" applyFill="1" applyBorder="1" applyAlignment="1">
      <alignment horizontal="left" vertical="top" wrapText="1" readingOrder="1"/>
    </xf>
    <xf numFmtId="0" fontId="6" fillId="0" borderId="11" xfId="0" applyFont="1" applyFill="1" applyBorder="1" applyAlignment="1">
      <alignment horizontal="center" readingOrder="1"/>
    </xf>
    <xf numFmtId="1" fontId="6" fillId="0" borderId="12" xfId="0" applyNumberFormat="1" applyFont="1" applyFill="1" applyBorder="1" applyAlignment="1">
      <alignment horizontal="center" readingOrder="1"/>
    </xf>
    <xf numFmtId="0" fontId="6" fillId="0" borderId="10" xfId="0" applyFont="1" applyFill="1" applyBorder="1" applyAlignment="1">
      <alignment horizontal="left" vertical="center" wrapText="1" readingOrder="1"/>
    </xf>
    <xf numFmtId="0" fontId="6" fillId="0" borderId="10" xfId="0" applyFont="1" applyFill="1" applyBorder="1" applyAlignment="1">
      <alignment horizontal="left" wrapText="1" readingOrder="1"/>
    </xf>
    <xf numFmtId="164" fontId="6" fillId="0" borderId="11" xfId="1" applyNumberFormat="1" applyFont="1" applyFill="1" applyBorder="1" applyAlignment="1">
      <alignment horizontal="center" readingOrder="1"/>
    </xf>
    <xf numFmtId="0" fontId="7" fillId="0" borderId="10" xfId="0" applyFont="1" applyFill="1" applyBorder="1" applyAlignment="1">
      <alignment horizontal="center" wrapText="1" readingOrder="1"/>
    </xf>
    <xf numFmtId="0" fontId="7" fillId="0" borderId="11" xfId="0" applyFont="1" applyFill="1" applyBorder="1" applyAlignment="1">
      <alignment horizontal="center" readingOrder="1"/>
    </xf>
    <xf numFmtId="0" fontId="7" fillId="0" borderId="12" xfId="0" applyFont="1" applyFill="1" applyBorder="1" applyAlignment="1">
      <alignment horizontal="center" readingOrder="1"/>
    </xf>
    <xf numFmtId="0" fontId="6" fillId="0" borderId="12" xfId="0" applyFont="1" applyFill="1" applyBorder="1" applyAlignment="1">
      <alignment horizontal="center" readingOrder="1"/>
    </xf>
    <xf numFmtId="0" fontId="7" fillId="0" borderId="13" xfId="0" applyFont="1" applyFill="1" applyBorder="1" applyAlignment="1">
      <alignment horizontal="center" wrapText="1" readingOrder="1"/>
    </xf>
    <xf numFmtId="0" fontId="7" fillId="0" borderId="14" xfId="0" applyFont="1" applyFill="1" applyBorder="1" applyAlignment="1">
      <alignment horizontal="center" readingOrder="1"/>
    </xf>
    <xf numFmtId="0" fontId="7" fillId="0" borderId="15" xfId="0" applyFont="1" applyFill="1" applyBorder="1" applyAlignment="1">
      <alignment horizontal="center" readingOrder="1"/>
    </xf>
    <xf numFmtId="0" fontId="2" fillId="0" borderId="1" xfId="0" applyFont="1" applyFill="1" applyBorder="1" applyAlignment="1">
      <alignment horizontal="center" readingOrder="1"/>
    </xf>
    <xf numFmtId="0" fontId="3" fillId="0" borderId="5" xfId="0" applyFont="1" applyFill="1" applyBorder="1" applyAlignment="1">
      <alignment horizontal="center" readingOrder="1"/>
    </xf>
    <xf numFmtId="0" fontId="5" fillId="0" borderId="8" xfId="0" applyFont="1" applyFill="1" applyBorder="1" applyAlignment="1">
      <alignment horizontal="left" readingOrder="1"/>
    </xf>
    <xf numFmtId="0" fontId="6" fillId="0" borderId="10" xfId="0" applyFont="1" applyFill="1" applyBorder="1" applyAlignment="1">
      <alignment horizontal="left" vertical="top" readingOrder="1"/>
    </xf>
    <xf numFmtId="0" fontId="6" fillId="0" borderId="10" xfId="0" applyFont="1" applyFill="1" applyBorder="1" applyAlignment="1">
      <alignment horizontal="left" readingOrder="1"/>
    </xf>
    <xf numFmtId="0" fontId="7" fillId="0" borderId="10" xfId="0" applyFont="1" applyFill="1" applyBorder="1" applyAlignment="1">
      <alignment horizontal="center" readingOrder="1"/>
    </xf>
    <xf numFmtId="3" fontId="6" fillId="0" borderId="11" xfId="0" applyNumberFormat="1" applyFont="1" applyFill="1" applyBorder="1" applyAlignment="1">
      <alignment horizontal="center" readingOrder="1"/>
    </xf>
    <xf numFmtId="9" fontId="6" fillId="0" borderId="11" xfId="2" applyFont="1" applyFill="1" applyBorder="1" applyAlignment="1">
      <alignment horizontal="center" readingOrder="1"/>
    </xf>
    <xf numFmtId="9" fontId="6" fillId="0" borderId="12" xfId="2" applyFont="1" applyFill="1" applyBorder="1" applyAlignment="1">
      <alignment horizontal="center" readingOrder="1"/>
    </xf>
    <xf numFmtId="9" fontId="6" fillId="0" borderId="12" xfId="0" applyNumberFormat="1" applyFont="1" applyFill="1" applyBorder="1" applyAlignment="1">
      <alignment horizontal="center" readingOrder="1"/>
    </xf>
    <xf numFmtId="0" fontId="7" fillId="0" borderId="13" xfId="0" applyFont="1" applyFill="1" applyBorder="1" applyAlignment="1">
      <alignment horizontal="center" readingOrder="1"/>
    </xf>
    <xf numFmtId="9" fontId="7" fillId="0" borderId="15" xfId="2" applyFont="1" applyFill="1" applyBorder="1" applyAlignment="1">
      <alignment horizontal="center" readingOrder="1"/>
    </xf>
    <xf numFmtId="0" fontId="9" fillId="0" borderId="16" xfId="0" applyFont="1" applyFill="1" applyBorder="1"/>
    <xf numFmtId="0" fontId="9" fillId="0" borderId="17" xfId="0" applyFont="1" applyFill="1" applyBorder="1"/>
    <xf numFmtId="164" fontId="9" fillId="0" borderId="17" xfId="0" applyNumberFormat="1" applyFont="1" applyFill="1" applyBorder="1"/>
    <xf numFmtId="0" fontId="9" fillId="0" borderId="18" xfId="0" applyFont="1" applyFill="1" applyBorder="1"/>
    <xf numFmtId="0" fontId="9" fillId="0" borderId="19" xfId="0" applyFont="1" applyFill="1" applyBorder="1"/>
    <xf numFmtId="0" fontId="9" fillId="0" borderId="0" xfId="0" applyFont="1" applyFill="1" applyBorder="1"/>
    <xf numFmtId="164" fontId="9" fillId="0" borderId="0" xfId="0" applyNumberFormat="1" applyFont="1" applyFill="1" applyBorder="1"/>
    <xf numFmtId="0" fontId="9" fillId="0" borderId="20" xfId="0" applyFont="1" applyFill="1" applyBorder="1"/>
    <xf numFmtId="0" fontId="9" fillId="0" borderId="21" xfId="0" applyFont="1" applyFill="1" applyBorder="1"/>
    <xf numFmtId="0" fontId="9" fillId="0" borderId="22" xfId="0" applyFont="1" applyFill="1" applyBorder="1"/>
    <xf numFmtId="9" fontId="9" fillId="0" borderId="22" xfId="2" applyFont="1" applyFill="1" applyBorder="1"/>
    <xf numFmtId="0" fontId="9" fillId="0" borderId="23" xfId="0" applyFont="1" applyFill="1" applyBorder="1"/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9" fontId="0" fillId="0" borderId="0" xfId="2" applyFont="1"/>
    <xf numFmtId="0" fontId="10" fillId="3" borderId="0" xfId="0" applyFont="1" applyFill="1"/>
    <xf numFmtId="165" fontId="0" fillId="0" borderId="0" xfId="3" applyNumberFormat="1" applyFont="1"/>
    <xf numFmtId="44" fontId="0" fillId="0" borderId="0" xfId="1" applyFont="1"/>
    <xf numFmtId="166" fontId="0" fillId="0" borderId="0" xfId="1" applyNumberFormat="1" applyFont="1"/>
    <xf numFmtId="164" fontId="0" fillId="0" borderId="0" xfId="1" applyNumberFormat="1" applyFont="1"/>
    <xf numFmtId="0" fontId="10" fillId="0" borderId="24" xfId="0" applyFont="1" applyBorder="1"/>
    <xf numFmtId="165" fontId="10" fillId="0" borderId="25" xfId="3" applyNumberFormat="1" applyFont="1" applyBorder="1"/>
    <xf numFmtId="165" fontId="10" fillId="0" borderId="26" xfId="3" applyNumberFormat="1" applyFont="1" applyBorder="1"/>
    <xf numFmtId="9" fontId="0" fillId="0" borderId="0" xfId="0" applyNumberFormat="1"/>
    <xf numFmtId="3" fontId="0" fillId="0" borderId="0" xfId="0" applyNumberFormat="1"/>
    <xf numFmtId="0" fontId="0" fillId="3" borderId="0" xfId="0" applyFill="1"/>
    <xf numFmtId="167" fontId="0" fillId="0" borderId="0" xfId="2" applyNumberFormat="1" applyFont="1"/>
    <xf numFmtId="164" fontId="0" fillId="0" borderId="0" xfId="0" applyNumberFormat="1"/>
    <xf numFmtId="164" fontId="10" fillId="3" borderId="0" xfId="1" applyNumberFormat="1" applyFont="1" applyFill="1"/>
    <xf numFmtId="0" fontId="3" fillId="0" borderId="2" xfId="0" applyFont="1" applyFill="1" applyBorder="1" applyAlignment="1">
      <alignment horizontal="center" readingOrder="1"/>
    </xf>
    <xf numFmtId="0" fontId="3" fillId="0" borderId="3" xfId="0" applyFont="1" applyFill="1" applyBorder="1" applyAlignment="1">
      <alignment horizontal="center" readingOrder="1"/>
    </xf>
    <xf numFmtId="0" fontId="3" fillId="0" borderId="4" xfId="0" applyFont="1" applyFill="1" applyBorder="1" applyAlignment="1">
      <alignment horizontal="center" readingOrder="1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1F3C2-57AF-4B79-931D-149EE5BBEA46}">
  <dimension ref="A1:N29"/>
  <sheetViews>
    <sheetView workbookViewId="0">
      <selection activeCell="B17" sqref="B17"/>
    </sheetView>
  </sheetViews>
  <sheetFormatPr defaultRowHeight="14.5" x14ac:dyDescent="0.35"/>
  <cols>
    <col min="1" max="1" width="19.36328125" customWidth="1"/>
    <col min="2" max="3" width="12.36328125" bestFit="1" customWidth="1"/>
    <col min="4" max="6" width="13.36328125" bestFit="1" customWidth="1"/>
    <col min="9" max="9" width="25" customWidth="1"/>
    <col min="10" max="14" width="12.36328125" bestFit="1" customWidth="1"/>
  </cols>
  <sheetData>
    <row r="1" spans="1:14" s="4" customFormat="1" ht="17" customHeight="1" x14ac:dyDescent="0.35">
      <c r="A1" s="3" t="s">
        <v>0</v>
      </c>
    </row>
    <row r="2" spans="1:14" s="4" customFormat="1" x14ac:dyDescent="0.35">
      <c r="A2" s="3" t="s">
        <v>1</v>
      </c>
    </row>
    <row r="3" spans="1:14" s="4" customFormat="1" x14ac:dyDescent="0.35">
      <c r="A3" s="3" t="s">
        <v>2</v>
      </c>
    </row>
    <row r="4" spans="1:14" s="4" customFormat="1" x14ac:dyDescent="0.35">
      <c r="A4" s="3" t="s">
        <v>3</v>
      </c>
    </row>
    <row r="5" spans="1:14" s="4" customFormat="1" x14ac:dyDescent="0.35"/>
    <row r="6" spans="1:14" s="4" customFormat="1" x14ac:dyDescent="0.35">
      <c r="A6" s="3" t="s">
        <v>4</v>
      </c>
    </row>
    <row r="8" spans="1:14" ht="15" thickBot="1" x14ac:dyDescent="0.4"/>
    <row r="9" spans="1:14" s="1" customFormat="1" ht="13.5" thickBot="1" x14ac:dyDescent="0.35">
      <c r="A9" s="5"/>
      <c r="B9" s="69" t="s">
        <v>19</v>
      </c>
      <c r="C9" s="70"/>
      <c r="D9" s="70"/>
      <c r="E9" s="71"/>
      <c r="F9" s="6"/>
      <c r="I9" s="26"/>
      <c r="J9" s="69" t="s">
        <v>20</v>
      </c>
      <c r="K9" s="70"/>
      <c r="L9" s="70"/>
      <c r="M9" s="71"/>
      <c r="N9" s="6"/>
    </row>
    <row r="10" spans="1:14" s="1" customFormat="1" ht="14" thickTop="1" thickBot="1" x14ac:dyDescent="0.35">
      <c r="A10" s="7" t="s">
        <v>5</v>
      </c>
      <c r="B10" s="8">
        <v>1</v>
      </c>
      <c r="C10" s="8">
        <v>2</v>
      </c>
      <c r="D10" s="8">
        <v>3</v>
      </c>
      <c r="E10" s="9">
        <v>4</v>
      </c>
      <c r="F10" s="9">
        <v>5</v>
      </c>
      <c r="I10" s="27" t="s">
        <v>5</v>
      </c>
      <c r="J10" s="8">
        <v>1</v>
      </c>
      <c r="K10" s="8">
        <v>2</v>
      </c>
      <c r="L10" s="8">
        <v>3</v>
      </c>
      <c r="M10" s="9">
        <v>4</v>
      </c>
      <c r="N10" s="9">
        <v>5</v>
      </c>
    </row>
    <row r="11" spans="1:14" s="2" customFormat="1" ht="13.5" thickBot="1" x14ac:dyDescent="0.35">
      <c r="A11" s="10" t="s">
        <v>6</v>
      </c>
      <c r="B11" s="11"/>
      <c r="C11" s="12">
        <v>0.8</v>
      </c>
      <c r="D11" s="12">
        <v>0.8</v>
      </c>
      <c r="E11" s="12">
        <v>0.8</v>
      </c>
      <c r="F11" s="12">
        <v>0.8</v>
      </c>
      <c r="I11" s="28" t="s">
        <v>6</v>
      </c>
      <c r="J11" s="11"/>
      <c r="K11" s="12">
        <f>$C$11+3%</f>
        <v>0.83000000000000007</v>
      </c>
      <c r="L11" s="12">
        <f t="shared" ref="L11:N11" si="0">$C$11+3%</f>
        <v>0.83000000000000007</v>
      </c>
      <c r="M11" s="12">
        <f t="shared" si="0"/>
        <v>0.83000000000000007</v>
      </c>
      <c r="N11" s="12">
        <f t="shared" si="0"/>
        <v>0.83000000000000007</v>
      </c>
    </row>
    <row r="12" spans="1:14" s="1" customFormat="1" ht="13.5" thickBot="1" x14ac:dyDescent="0.35">
      <c r="A12" s="13" t="s">
        <v>7</v>
      </c>
      <c r="B12" s="14">
        <v>12000</v>
      </c>
      <c r="C12" s="14">
        <f>B12*C11</f>
        <v>9600</v>
      </c>
      <c r="D12" s="14">
        <f>D11*C12</f>
        <v>7680</v>
      </c>
      <c r="E12" s="15">
        <f>E11*D12</f>
        <v>6144</v>
      </c>
      <c r="F12" s="15">
        <f>F11*E12</f>
        <v>4915.2000000000007</v>
      </c>
      <c r="I12" s="29" t="s">
        <v>7</v>
      </c>
      <c r="J12" s="14">
        <v>12000</v>
      </c>
      <c r="K12" s="14">
        <f>J12*K11</f>
        <v>9960</v>
      </c>
      <c r="L12" s="14">
        <f>L11*K12</f>
        <v>8266.8000000000011</v>
      </c>
      <c r="M12" s="15">
        <f>M11*L12</f>
        <v>6861.4440000000013</v>
      </c>
      <c r="N12" s="15">
        <f>N11*M12</f>
        <v>5694.9985200000019</v>
      </c>
    </row>
    <row r="13" spans="1:14" s="1" customFormat="1" ht="52.5" thickBot="1" x14ac:dyDescent="0.35">
      <c r="A13" s="16" t="s">
        <v>8</v>
      </c>
      <c r="B13" s="14">
        <v>350</v>
      </c>
      <c r="C13" s="14">
        <v>350</v>
      </c>
      <c r="D13" s="14">
        <v>350</v>
      </c>
      <c r="E13" s="14">
        <v>350</v>
      </c>
      <c r="F13" s="14">
        <v>350</v>
      </c>
      <c r="I13" s="16" t="s">
        <v>8</v>
      </c>
      <c r="J13" s="14">
        <v>350</v>
      </c>
      <c r="K13" s="14">
        <v>350</v>
      </c>
      <c r="L13" s="14">
        <v>350</v>
      </c>
      <c r="M13" s="14">
        <v>350</v>
      </c>
      <c r="N13" s="14">
        <v>350</v>
      </c>
    </row>
    <row r="14" spans="1:14" s="1" customFormat="1" ht="13.5" thickBot="1" x14ac:dyDescent="0.35">
      <c r="A14" s="17" t="s">
        <v>9</v>
      </c>
      <c r="B14" s="18">
        <f>B12*B13</f>
        <v>4200000</v>
      </c>
      <c r="C14" s="18">
        <f>C12*C13</f>
        <v>3360000</v>
      </c>
      <c r="D14" s="18">
        <f t="shared" ref="D14:E14" si="1">D12*D13</f>
        <v>2688000</v>
      </c>
      <c r="E14" s="18">
        <f t="shared" si="1"/>
        <v>2150400</v>
      </c>
      <c r="F14" s="18">
        <f>F12*F13</f>
        <v>1720320.0000000002</v>
      </c>
      <c r="I14" s="30" t="s">
        <v>9</v>
      </c>
      <c r="J14" s="18">
        <f>J12*J13</f>
        <v>4200000</v>
      </c>
      <c r="K14" s="18">
        <f>K12*K13</f>
        <v>3486000</v>
      </c>
      <c r="L14" s="18">
        <f t="shared" ref="L14:N14" si="2">L12*L13</f>
        <v>2893380.0000000005</v>
      </c>
      <c r="M14" s="18">
        <f t="shared" si="2"/>
        <v>2401505.4000000004</v>
      </c>
      <c r="N14" s="18">
        <f t="shared" si="2"/>
        <v>1993249.4820000008</v>
      </c>
    </row>
    <row r="15" spans="1:14" s="1" customFormat="1" ht="13.5" thickBot="1" x14ac:dyDescent="0.35">
      <c r="A15" s="19" t="s">
        <v>10</v>
      </c>
      <c r="B15" s="20"/>
      <c r="C15" s="20"/>
      <c r="D15" s="20"/>
      <c r="E15" s="21"/>
      <c r="F15" s="21"/>
      <c r="I15" s="31" t="s">
        <v>10</v>
      </c>
      <c r="J15" s="20"/>
      <c r="K15" s="20"/>
      <c r="L15" s="20"/>
      <c r="M15" s="21"/>
      <c r="N15" s="21"/>
    </row>
    <row r="16" spans="1:14" s="1" customFormat="1" ht="13.5" thickBot="1" x14ac:dyDescent="0.35">
      <c r="A16" s="17" t="s">
        <v>11</v>
      </c>
      <c r="B16" s="14"/>
      <c r="C16" s="14"/>
      <c r="D16" s="14"/>
      <c r="E16" s="22"/>
      <c r="F16" s="22"/>
      <c r="I16" s="30" t="s">
        <v>11</v>
      </c>
      <c r="J16" s="32">
        <v>60000</v>
      </c>
      <c r="K16" s="14"/>
      <c r="L16" s="14"/>
      <c r="M16" s="22"/>
      <c r="N16" s="22"/>
    </row>
    <row r="17" spans="1:14" s="1" customFormat="1" ht="39.5" thickBot="1" x14ac:dyDescent="0.35">
      <c r="A17" s="17" t="s">
        <v>12</v>
      </c>
      <c r="B17" s="14">
        <v>4</v>
      </c>
      <c r="C17" s="14">
        <v>4</v>
      </c>
      <c r="D17" s="14">
        <v>4</v>
      </c>
      <c r="E17" s="14">
        <v>4</v>
      </c>
      <c r="F17" s="14">
        <v>4</v>
      </c>
      <c r="I17" s="17" t="s">
        <v>12</v>
      </c>
      <c r="J17" s="14"/>
      <c r="K17" s="14">
        <v>2</v>
      </c>
      <c r="L17" s="14">
        <v>2</v>
      </c>
      <c r="M17" s="14">
        <v>2</v>
      </c>
      <c r="N17" s="14">
        <v>2</v>
      </c>
    </row>
    <row r="18" spans="1:14" s="1" customFormat="1" ht="13.5" thickBot="1" x14ac:dyDescent="0.35">
      <c r="A18" s="17" t="s">
        <v>13</v>
      </c>
      <c r="B18" s="18">
        <f>B12*B17</f>
        <v>48000</v>
      </c>
      <c r="C18" s="18">
        <f t="shared" ref="C18:F18" si="3">C12*C17</f>
        <v>38400</v>
      </c>
      <c r="D18" s="18">
        <f t="shared" si="3"/>
        <v>30720</v>
      </c>
      <c r="E18" s="18">
        <f t="shared" si="3"/>
        <v>24576</v>
      </c>
      <c r="F18" s="18">
        <f t="shared" si="3"/>
        <v>19660.800000000003</v>
      </c>
      <c r="I18" s="30" t="s">
        <v>13</v>
      </c>
      <c r="J18" s="18">
        <f>J12*J17+J16</f>
        <v>60000</v>
      </c>
      <c r="K18" s="18">
        <f t="shared" ref="K18:N18" si="4">K12*K17+K16</f>
        <v>19920</v>
      </c>
      <c r="L18" s="18">
        <f t="shared" si="4"/>
        <v>16533.600000000002</v>
      </c>
      <c r="M18" s="18">
        <f t="shared" si="4"/>
        <v>13722.888000000003</v>
      </c>
      <c r="N18" s="18">
        <f t="shared" si="4"/>
        <v>11389.997040000004</v>
      </c>
    </row>
    <row r="19" spans="1:14" s="1" customFormat="1" ht="13.5" thickBot="1" x14ac:dyDescent="0.35">
      <c r="A19" s="19" t="s">
        <v>14</v>
      </c>
      <c r="B19" s="20"/>
      <c r="C19" s="20"/>
      <c r="D19" s="20"/>
      <c r="E19" s="21"/>
      <c r="F19" s="21"/>
      <c r="I19" s="31" t="s">
        <v>14</v>
      </c>
      <c r="J19" s="20"/>
      <c r="K19" s="20"/>
      <c r="L19" s="20"/>
      <c r="M19" s="21"/>
      <c r="N19" s="21"/>
    </row>
    <row r="20" spans="1:14" s="1" customFormat="1" ht="13.5" thickBot="1" x14ac:dyDescent="0.35">
      <c r="A20" s="17" t="s">
        <v>15</v>
      </c>
      <c r="B20" s="18">
        <f>B14-B18</f>
        <v>4152000</v>
      </c>
      <c r="C20" s="18">
        <f t="shared" ref="C20:F20" si="5">C14-C18</f>
        <v>3321600</v>
      </c>
      <c r="D20" s="18">
        <f t="shared" si="5"/>
        <v>2657280</v>
      </c>
      <c r="E20" s="18">
        <f t="shared" si="5"/>
        <v>2125824</v>
      </c>
      <c r="F20" s="18">
        <f t="shared" si="5"/>
        <v>1700659.2000000002</v>
      </c>
      <c r="I20" s="30" t="s">
        <v>15</v>
      </c>
      <c r="J20" s="18">
        <f>J14-J18</f>
        <v>4140000</v>
      </c>
      <c r="K20" s="18">
        <f>K14-K18</f>
        <v>3466080</v>
      </c>
      <c r="L20" s="18">
        <f t="shared" ref="L20:N20" si="6">L14-L18</f>
        <v>2876846.4000000004</v>
      </c>
      <c r="M20" s="18">
        <f t="shared" si="6"/>
        <v>2387782.5120000006</v>
      </c>
      <c r="N20" s="18">
        <f t="shared" si="6"/>
        <v>1981859.4849600007</v>
      </c>
    </row>
    <row r="21" spans="1:14" s="1" customFormat="1" ht="13.5" thickBot="1" x14ac:dyDescent="0.35">
      <c r="A21" s="17" t="s">
        <v>16</v>
      </c>
      <c r="B21" s="18">
        <f>B20</f>
        <v>4152000</v>
      </c>
      <c r="C21" s="18">
        <f>C20+B21</f>
        <v>7473600</v>
      </c>
      <c r="D21" s="18">
        <f>D20+C21</f>
        <v>10130880</v>
      </c>
      <c r="E21" s="18">
        <f>E20+D21</f>
        <v>12256704</v>
      </c>
      <c r="F21" s="18">
        <f>F20+E21</f>
        <v>13957363.199999999</v>
      </c>
      <c r="I21" s="30" t="s">
        <v>16</v>
      </c>
      <c r="J21" s="18">
        <f>J20</f>
        <v>4140000</v>
      </c>
      <c r="K21" s="18">
        <f>K20+J21</f>
        <v>7606080</v>
      </c>
      <c r="L21" s="18">
        <f>L20+K21</f>
        <v>10482926.4</v>
      </c>
      <c r="M21" s="18">
        <f>M20+L21</f>
        <v>12870708.912</v>
      </c>
      <c r="N21" s="18">
        <f>N20+M21</f>
        <v>14852568.396960001</v>
      </c>
    </row>
    <row r="22" spans="1:14" s="1" customFormat="1" ht="13.5" thickBot="1" x14ac:dyDescent="0.35">
      <c r="A22" s="17" t="s">
        <v>17</v>
      </c>
      <c r="B22" s="14"/>
      <c r="C22" s="14"/>
      <c r="D22" s="14"/>
      <c r="E22" s="22"/>
      <c r="F22" s="22"/>
      <c r="I22" s="30" t="s">
        <v>17</v>
      </c>
      <c r="J22" s="33">
        <f>(J21-B21)/J18</f>
        <v>-0.2</v>
      </c>
      <c r="K22" s="33">
        <f>(K21-C21)/(SUM(J18:K18))</f>
        <v>1.6576576576576576</v>
      </c>
      <c r="L22" s="33">
        <f>(L21-D21)/(SUM(J18:L18))</f>
        <v>3.6499042026425177</v>
      </c>
      <c r="M22" s="34">
        <f>(M21-E21)/(SUM(J18:M18))</f>
        <v>5.572921438555932</v>
      </c>
      <c r="N22" s="35">
        <f>I29</f>
        <v>7.3639144593630848</v>
      </c>
    </row>
    <row r="23" spans="1:14" s="1" customFormat="1" ht="13.5" thickBot="1" x14ac:dyDescent="0.35">
      <c r="A23" s="23" t="s">
        <v>18</v>
      </c>
      <c r="B23" s="24"/>
      <c r="C23" s="24"/>
      <c r="D23" s="24"/>
      <c r="E23" s="25"/>
      <c r="F23" s="25"/>
      <c r="I23" s="36" t="s">
        <v>18</v>
      </c>
      <c r="J23" s="37"/>
      <c r="K23" s="37"/>
      <c r="L23" s="37"/>
      <c r="M23" s="37"/>
      <c r="N23" s="37"/>
    </row>
    <row r="26" spans="1:14" ht="15" thickBot="1" x14ac:dyDescent="0.4"/>
    <row r="27" spans="1:14" ht="21" x14ac:dyDescent="0.5">
      <c r="D27" s="38" t="s">
        <v>21</v>
      </c>
      <c r="E27" s="39"/>
      <c r="F27" s="39"/>
      <c r="G27" s="39"/>
      <c r="H27" s="39"/>
      <c r="I27" s="40">
        <f>N21-F21</f>
        <v>895205.19696000218</v>
      </c>
      <c r="J27" s="39" t="s">
        <v>22</v>
      </c>
      <c r="K27" s="41"/>
    </row>
    <row r="28" spans="1:14" ht="21" x14ac:dyDescent="0.5">
      <c r="D28" s="42" t="s">
        <v>23</v>
      </c>
      <c r="E28" s="43"/>
      <c r="F28" s="43"/>
      <c r="G28" s="43"/>
      <c r="H28" s="43"/>
      <c r="I28" s="44">
        <f>SUM(J18:N18)</f>
        <v>121566.48504000001</v>
      </c>
      <c r="J28" s="43"/>
      <c r="K28" s="45"/>
    </row>
    <row r="29" spans="1:14" ht="21.5" thickBot="1" x14ac:dyDescent="0.55000000000000004">
      <c r="D29" s="46" t="s">
        <v>24</v>
      </c>
      <c r="E29" s="47"/>
      <c r="F29" s="47"/>
      <c r="G29" s="47"/>
      <c r="H29" s="47"/>
      <c r="I29" s="48">
        <f>I27/I28</f>
        <v>7.3639144593630848</v>
      </c>
      <c r="J29" s="47" t="s">
        <v>22</v>
      </c>
      <c r="K29" s="49"/>
    </row>
  </sheetData>
  <mergeCells count="2">
    <mergeCell ref="B9:E9"/>
    <mergeCell ref="J9:M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0E1E-C358-46B0-B5B7-C539F432B5C9}">
  <dimension ref="A1:P43"/>
  <sheetViews>
    <sheetView tabSelected="1" topLeftCell="A16" workbookViewId="0">
      <selection activeCell="J32" sqref="J32"/>
    </sheetView>
  </sheetViews>
  <sheetFormatPr defaultRowHeight="14.5" x14ac:dyDescent="0.35"/>
  <cols>
    <col min="1" max="1" width="21.81640625" customWidth="1"/>
    <col min="2" max="3" width="13.7265625" bestFit="1" customWidth="1"/>
    <col min="4" max="6" width="14.6328125" bestFit="1" customWidth="1"/>
    <col min="9" max="9" width="17.1796875" customWidth="1"/>
    <col min="10" max="11" width="13.7265625" bestFit="1" customWidth="1"/>
    <col min="12" max="14" width="14.6328125" bestFit="1" customWidth="1"/>
  </cols>
  <sheetData>
    <row r="1" spans="1:1" ht="15.5" x14ac:dyDescent="0.35">
      <c r="A1" s="50" t="s">
        <v>25</v>
      </c>
    </row>
    <row r="2" spans="1:1" ht="15.5" x14ac:dyDescent="0.35">
      <c r="A2" s="51" t="s">
        <v>26</v>
      </c>
    </row>
    <row r="3" spans="1:1" ht="15.5" x14ac:dyDescent="0.35">
      <c r="A3" s="51" t="s">
        <v>27</v>
      </c>
    </row>
    <row r="4" spans="1:1" ht="15.5" x14ac:dyDescent="0.35">
      <c r="A4" s="51" t="s">
        <v>28</v>
      </c>
    </row>
    <row r="5" spans="1:1" ht="15.5" x14ac:dyDescent="0.35">
      <c r="A5" s="51" t="s">
        <v>29</v>
      </c>
    </row>
    <row r="6" spans="1:1" ht="15.5" x14ac:dyDescent="0.35">
      <c r="A6" s="52" t="s">
        <v>30</v>
      </c>
    </row>
    <row r="7" spans="1:1" ht="15.5" x14ac:dyDescent="0.35">
      <c r="A7" s="51" t="s">
        <v>31</v>
      </c>
    </row>
    <row r="8" spans="1:1" ht="15.5" x14ac:dyDescent="0.35">
      <c r="A8" s="51" t="s">
        <v>32</v>
      </c>
    </row>
    <row r="9" spans="1:1" ht="15.5" x14ac:dyDescent="0.35">
      <c r="A9" s="51" t="s">
        <v>33</v>
      </c>
    </row>
    <row r="10" spans="1:1" ht="15.5" x14ac:dyDescent="0.35">
      <c r="A10" s="52" t="s">
        <v>34</v>
      </c>
    </row>
    <row r="11" spans="1:1" ht="15.5" x14ac:dyDescent="0.35">
      <c r="A11" s="51" t="s">
        <v>35</v>
      </c>
    </row>
    <row r="12" spans="1:1" ht="15.5" x14ac:dyDescent="0.35">
      <c r="A12" s="51" t="s">
        <v>36</v>
      </c>
    </row>
    <row r="13" spans="1:1" ht="15.5" x14ac:dyDescent="0.35">
      <c r="A13" s="51" t="s">
        <v>37</v>
      </c>
    </row>
    <row r="14" spans="1:1" ht="15.5" x14ac:dyDescent="0.35">
      <c r="A14" s="51" t="s">
        <v>38</v>
      </c>
    </row>
    <row r="15" spans="1:1" ht="15.5" x14ac:dyDescent="0.35">
      <c r="A15" s="53" t="s">
        <v>39</v>
      </c>
    </row>
    <row r="18" spans="1:16" x14ac:dyDescent="0.35">
      <c r="B18" s="55" t="s">
        <v>19</v>
      </c>
      <c r="C18" s="65"/>
      <c r="J18" s="55" t="s">
        <v>20</v>
      </c>
      <c r="K18" s="55"/>
    </row>
    <row r="19" spans="1:16" x14ac:dyDescent="0.35">
      <c r="A19" s="55" t="s">
        <v>5</v>
      </c>
      <c r="B19">
        <v>1</v>
      </c>
      <c r="C19">
        <v>2</v>
      </c>
      <c r="D19">
        <v>3</v>
      </c>
      <c r="E19">
        <v>4</v>
      </c>
      <c r="F19">
        <v>5</v>
      </c>
      <c r="I19" s="55" t="s">
        <v>5</v>
      </c>
      <c r="J19">
        <v>1</v>
      </c>
      <c r="K19">
        <v>2</v>
      </c>
      <c r="L19">
        <v>3</v>
      </c>
      <c r="M19">
        <v>4</v>
      </c>
      <c r="N19">
        <v>5</v>
      </c>
    </row>
    <row r="20" spans="1:16" ht="15" thickBot="1" x14ac:dyDescent="0.4">
      <c r="A20" t="s">
        <v>6</v>
      </c>
      <c r="B20" s="63">
        <v>0.7</v>
      </c>
      <c r="C20" s="54">
        <v>0.7</v>
      </c>
      <c r="D20" s="54">
        <v>0.7</v>
      </c>
      <c r="E20" s="54">
        <v>0.7</v>
      </c>
      <c r="F20" s="54">
        <v>0.7</v>
      </c>
      <c r="I20" t="s">
        <v>6</v>
      </c>
      <c r="J20" s="63">
        <v>0.7</v>
      </c>
      <c r="K20" s="54">
        <f>J20+3%</f>
        <v>0.73</v>
      </c>
      <c r="L20" s="63">
        <f>K20+3%</f>
        <v>0.76</v>
      </c>
      <c r="M20" s="63">
        <f t="shared" ref="M20:N20" si="0">L20+3%</f>
        <v>0.79</v>
      </c>
      <c r="N20" s="63">
        <f t="shared" si="0"/>
        <v>0.82000000000000006</v>
      </c>
    </row>
    <row r="21" spans="1:16" ht="15" thickBot="1" x14ac:dyDescent="0.4">
      <c r="A21" s="60" t="s">
        <v>7</v>
      </c>
      <c r="B21" s="61">
        <v>18000</v>
      </c>
      <c r="C21" s="61">
        <f>B21*C20</f>
        <v>12600</v>
      </c>
      <c r="D21" s="61">
        <f>D20*C21</f>
        <v>8820</v>
      </c>
      <c r="E21" s="61">
        <f>E20*D21</f>
        <v>6174</v>
      </c>
      <c r="F21" s="62">
        <f>F20*E21</f>
        <v>4321.7999999999993</v>
      </c>
      <c r="I21" t="s">
        <v>7</v>
      </c>
      <c r="J21" s="56">
        <v>18000</v>
      </c>
      <c r="K21" s="56">
        <f>J21*J20</f>
        <v>12600</v>
      </c>
      <c r="L21" s="56">
        <f>K21*K20</f>
        <v>9198</v>
      </c>
      <c r="M21" s="56">
        <f t="shared" ref="M21" si="1">L21*L20</f>
        <v>6990.4800000000005</v>
      </c>
      <c r="N21" s="56">
        <f>M21*M20</f>
        <v>5522.4792000000007</v>
      </c>
      <c r="O21" s="56"/>
      <c r="P21" s="56"/>
    </row>
    <row r="22" spans="1:16" x14ac:dyDescent="0.35">
      <c r="A22" t="s">
        <v>8</v>
      </c>
      <c r="B22" s="58">
        <v>300</v>
      </c>
      <c r="C22" s="58">
        <f>B22-B22*3%</f>
        <v>291</v>
      </c>
      <c r="D22" s="58">
        <f>C22-C22*3%</f>
        <v>282.27</v>
      </c>
      <c r="E22" s="58">
        <f t="shared" ref="E22:F22" si="2">D22-D22*3%</f>
        <v>273.80189999999999</v>
      </c>
      <c r="F22" s="58">
        <f t="shared" si="2"/>
        <v>265.58784299999996</v>
      </c>
      <c r="I22" t="s">
        <v>8</v>
      </c>
      <c r="J22" s="57">
        <v>300</v>
      </c>
      <c r="K22" s="57">
        <f>J22-J22*3%</f>
        <v>291</v>
      </c>
      <c r="L22" s="57">
        <f t="shared" ref="L22:N22" si="3">K22-K22*3%</f>
        <v>282.27</v>
      </c>
      <c r="M22" s="57">
        <f t="shared" si="3"/>
        <v>273.80189999999999</v>
      </c>
      <c r="N22" s="57">
        <f t="shared" si="3"/>
        <v>265.58784299999996</v>
      </c>
    </row>
    <row r="23" spans="1:16" x14ac:dyDescent="0.35">
      <c r="A23" t="s">
        <v>9</v>
      </c>
      <c r="B23" s="59">
        <f>B21*B22</f>
        <v>5400000</v>
      </c>
      <c r="C23" s="59">
        <f>C21*C22</f>
        <v>3666600</v>
      </c>
      <c r="D23" s="59">
        <f t="shared" ref="D23:E23" si="4">D21*D22</f>
        <v>2489621.4</v>
      </c>
      <c r="E23" s="59">
        <f t="shared" si="4"/>
        <v>1690452.9305999998</v>
      </c>
      <c r="F23" s="59">
        <f>F21*F22</f>
        <v>1147817.5398773996</v>
      </c>
      <c r="I23" t="s">
        <v>9</v>
      </c>
      <c r="J23" s="59">
        <f>J21*J22</f>
        <v>5400000</v>
      </c>
      <c r="K23" s="59">
        <f>K21*K22</f>
        <v>3666600</v>
      </c>
      <c r="L23" s="59">
        <f t="shared" ref="L23:N23" si="5">L21*L22</f>
        <v>2596319.46</v>
      </c>
      <c r="M23" s="59">
        <f t="shared" si="5"/>
        <v>1914006.705912</v>
      </c>
      <c r="N23" s="59">
        <f t="shared" si="5"/>
        <v>1466703.3387403656</v>
      </c>
    </row>
    <row r="24" spans="1:16" x14ac:dyDescent="0.35">
      <c r="A24" s="55" t="s">
        <v>10</v>
      </c>
      <c r="I24" s="55" t="s">
        <v>10</v>
      </c>
    </row>
    <row r="25" spans="1:16" x14ac:dyDescent="0.35">
      <c r="A25" t="s">
        <v>11</v>
      </c>
      <c r="I25" t="s">
        <v>11</v>
      </c>
      <c r="J25" s="64">
        <v>100000</v>
      </c>
    </row>
    <row r="26" spans="1:16" x14ac:dyDescent="0.35">
      <c r="A26" t="s">
        <v>12</v>
      </c>
      <c r="B26">
        <v>6</v>
      </c>
      <c r="C26">
        <v>6</v>
      </c>
      <c r="D26">
        <v>6</v>
      </c>
      <c r="E26">
        <v>6</v>
      </c>
      <c r="F26">
        <v>6</v>
      </c>
      <c r="I26" t="s">
        <v>12</v>
      </c>
      <c r="J26">
        <v>6</v>
      </c>
      <c r="K26">
        <v>6</v>
      </c>
      <c r="L26">
        <v>4</v>
      </c>
      <c r="M26">
        <v>4</v>
      </c>
      <c r="N26">
        <v>4</v>
      </c>
    </row>
    <row r="27" spans="1:16" x14ac:dyDescent="0.35">
      <c r="A27" t="s">
        <v>13</v>
      </c>
      <c r="B27" s="59">
        <f>B21*B26</f>
        <v>108000</v>
      </c>
      <c r="C27" s="59">
        <f t="shared" ref="C27:F27" si="6">C21*C26</f>
        <v>75600</v>
      </c>
      <c r="D27" s="59">
        <f t="shared" si="6"/>
        <v>52920</v>
      </c>
      <c r="E27" s="59">
        <f t="shared" si="6"/>
        <v>37044</v>
      </c>
      <c r="F27" s="59">
        <f t="shared" si="6"/>
        <v>25930.799999999996</v>
      </c>
      <c r="I27" t="s">
        <v>13</v>
      </c>
      <c r="J27" s="59">
        <f>J21*J26+J25</f>
        <v>208000</v>
      </c>
      <c r="K27" s="59">
        <f>K21*K26+K25</f>
        <v>75600</v>
      </c>
      <c r="L27" s="59">
        <f t="shared" ref="L27:N27" si="7">L21*L26+L25</f>
        <v>36792</v>
      </c>
      <c r="M27" s="59">
        <f t="shared" si="7"/>
        <v>27961.920000000002</v>
      </c>
      <c r="N27" s="59">
        <f t="shared" si="7"/>
        <v>22089.916800000003</v>
      </c>
    </row>
    <row r="28" spans="1:16" x14ac:dyDescent="0.35">
      <c r="A28" s="55" t="s">
        <v>14</v>
      </c>
      <c r="I28" s="55" t="s">
        <v>14</v>
      </c>
    </row>
    <row r="29" spans="1:16" x14ac:dyDescent="0.35">
      <c r="A29" t="s">
        <v>15</v>
      </c>
      <c r="B29" s="59">
        <f>B23-B27</f>
        <v>5292000</v>
      </c>
      <c r="C29" s="59">
        <f>C23-C27</f>
        <v>3591000</v>
      </c>
      <c r="D29" s="59">
        <f t="shared" ref="D29:F29" si="8">D23-D27</f>
        <v>2436701.4</v>
      </c>
      <c r="E29" s="59">
        <f t="shared" si="8"/>
        <v>1653408.9305999998</v>
      </c>
      <c r="F29" s="59">
        <f t="shared" si="8"/>
        <v>1121886.7398773995</v>
      </c>
      <c r="I29" t="s">
        <v>15</v>
      </c>
      <c r="J29" s="59">
        <f>J23-J27</f>
        <v>5192000</v>
      </c>
      <c r="K29" s="59">
        <f>K23-K27</f>
        <v>3591000</v>
      </c>
      <c r="L29" s="59">
        <f t="shared" ref="L29:N29" si="9">L23-L27</f>
        <v>2559527.46</v>
      </c>
      <c r="M29" s="59">
        <f t="shared" si="9"/>
        <v>1886044.7859120001</v>
      </c>
      <c r="N29" s="59">
        <f t="shared" si="9"/>
        <v>1444613.4219403656</v>
      </c>
    </row>
    <row r="30" spans="1:16" x14ac:dyDescent="0.35">
      <c r="A30" t="s">
        <v>16</v>
      </c>
      <c r="B30" s="59">
        <f>B29</f>
        <v>5292000</v>
      </c>
      <c r="C30" s="59">
        <f>C29+B30</f>
        <v>8883000</v>
      </c>
      <c r="D30" s="59">
        <f>D29+C30</f>
        <v>11319701.4</v>
      </c>
      <c r="E30" s="59">
        <f>E29+D30</f>
        <v>12973110.330600001</v>
      </c>
      <c r="F30" s="68">
        <f>F29+E30</f>
        <v>14094997.0704774</v>
      </c>
      <c r="I30" t="s">
        <v>16</v>
      </c>
      <c r="J30" s="59">
        <f>J29</f>
        <v>5192000</v>
      </c>
      <c r="K30" s="59">
        <f>K29+J30</f>
        <v>8783000</v>
      </c>
      <c r="L30" s="59">
        <f>L29+K30</f>
        <v>11342527.460000001</v>
      </c>
      <c r="M30" s="59">
        <f>M29+L30</f>
        <v>13228572.245912001</v>
      </c>
      <c r="N30" s="68">
        <f>N29+M30</f>
        <v>14673185.667852366</v>
      </c>
    </row>
    <row r="31" spans="1:16" x14ac:dyDescent="0.35">
      <c r="A31" t="s">
        <v>17</v>
      </c>
      <c r="I31" t="s">
        <v>17</v>
      </c>
      <c r="J31" s="66">
        <f>(J30-B30)/J27</f>
        <v>-0.48076923076923078</v>
      </c>
      <c r="K31" s="66">
        <f>(K30-C30)/(SUM(J27:K27))</f>
        <v>-0.35260930888575459</v>
      </c>
      <c r="L31" s="66">
        <f>(L30-D30)/(SUM(J27:L27))</f>
        <v>7.124416339983683E-2</v>
      </c>
      <c r="M31" s="66">
        <f>(M30-E30)/(SUM(J27:M27))</f>
        <v>0.73334014818033233</v>
      </c>
      <c r="N31" s="66">
        <f>(N30-F30)/(SUM(J27:N27))</f>
        <v>1.5607996136999476</v>
      </c>
    </row>
    <row r="32" spans="1:16" x14ac:dyDescent="0.35">
      <c r="A32" t="s">
        <v>18</v>
      </c>
      <c r="I32" t="s">
        <v>18</v>
      </c>
    </row>
    <row r="36" spans="1:12" x14ac:dyDescent="0.35">
      <c r="J36" s="67"/>
    </row>
    <row r="37" spans="1:12" x14ac:dyDescent="0.35">
      <c r="A37" t="s">
        <v>41</v>
      </c>
      <c r="J37" s="67"/>
    </row>
    <row r="39" spans="1:12" x14ac:dyDescent="0.35">
      <c r="A39" t="s">
        <v>42</v>
      </c>
      <c r="J39" t="s">
        <v>44</v>
      </c>
      <c r="K39" s="67">
        <f>N30-F30</f>
        <v>578188.59737496637</v>
      </c>
      <c r="L39" t="s">
        <v>40</v>
      </c>
    </row>
    <row r="41" spans="1:12" x14ac:dyDescent="0.35">
      <c r="A41" t="s">
        <v>45</v>
      </c>
    </row>
    <row r="43" spans="1:12" x14ac:dyDescent="0.35">
      <c r="A4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2025-08-12T02:10:43Z</dcterms:created>
  <dcterms:modified xsi:type="dcterms:W3CDTF">2025-08-15T22:37:59Z</dcterms:modified>
</cp:coreProperties>
</file>