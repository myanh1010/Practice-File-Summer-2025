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0E37DCB-D638-4C58-BD39-06C39417536D}" xr6:coauthVersionLast="45" xr6:coauthVersionMax="47" xr10:uidLastSave="{00000000-0000-0000-0000-000000000000}"/>
  <bookViews>
    <workbookView xWindow="-110" yWindow="-110" windowWidth="19420" windowHeight="10300" activeTab="1" xr2:uid="{266444EF-F749-6344-8421-40343E7AAB1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2" l="1"/>
  <c r="B13" i="1" l="1"/>
  <c r="I22" i="2"/>
  <c r="G21" i="2"/>
  <c r="B24" i="3" l="1"/>
  <c r="B9" i="3"/>
  <c r="B8" i="3"/>
  <c r="A11" i="3"/>
  <c r="K10" i="2"/>
  <c r="J4" i="2"/>
  <c r="K4" i="2" s="1"/>
  <c r="B4" i="2"/>
  <c r="B6" i="2" s="1"/>
  <c r="B12" i="2" s="1"/>
  <c r="B13" i="2" s="1"/>
  <c r="B7" i="1"/>
  <c r="B9" i="1" s="1"/>
  <c r="B3" i="1"/>
  <c r="C3" i="1" s="1"/>
  <c r="C4" i="2" l="1"/>
  <c r="B5" i="1"/>
  <c r="B11" i="1" s="1"/>
  <c r="B12" i="1" s="1"/>
  <c r="J10" i="2"/>
  <c r="L4" i="2"/>
  <c r="L10" i="2" s="1"/>
  <c r="K6" i="2"/>
  <c r="K12" i="2" s="1"/>
  <c r="J6" i="2"/>
  <c r="J12" i="2" s="1"/>
  <c r="J13" i="2" s="1"/>
  <c r="C9" i="1"/>
  <c r="D3" i="1"/>
  <c r="C5" i="1"/>
  <c r="G25" i="2" l="1"/>
  <c r="K13" i="2"/>
  <c r="C11" i="1"/>
  <c r="C12" i="1" s="1"/>
  <c r="C13" i="1" s="1"/>
  <c r="C6" i="2"/>
  <c r="C12" i="2" s="1"/>
  <c r="C13" i="2" s="1"/>
  <c r="D4" i="2"/>
  <c r="M4" i="2"/>
  <c r="M10" i="2" s="1"/>
  <c r="L6" i="2"/>
  <c r="L12" i="2" s="1"/>
  <c r="L13" i="2" s="1"/>
  <c r="E3" i="1"/>
  <c r="D5" i="1"/>
  <c r="D9" i="1"/>
  <c r="E4" i="2" l="1"/>
  <c r="D6" i="2"/>
  <c r="D12" i="2" s="1"/>
  <c r="D13" i="2" s="1"/>
  <c r="G24" i="2"/>
  <c r="I25" i="2" s="1"/>
  <c r="M6" i="2"/>
  <c r="M12" i="2" s="1"/>
  <c r="M13" i="2" s="1"/>
  <c r="N4" i="2"/>
  <c r="D11" i="1"/>
  <c r="D12" i="1" s="1"/>
  <c r="D13" i="1" s="1"/>
  <c r="E9" i="1"/>
  <c r="E5" i="1"/>
  <c r="N6" i="2" l="1"/>
  <c r="N10" i="2"/>
  <c r="F4" i="2"/>
  <c r="F6" i="2" s="1"/>
  <c r="F12" i="2" s="1"/>
  <c r="E6" i="2"/>
  <c r="E12" i="2" s="1"/>
  <c r="E13" i="2" s="1"/>
  <c r="F13" i="2" s="1"/>
  <c r="E11" i="1"/>
  <c r="E12" i="1" s="1"/>
  <c r="E13" i="1" s="1"/>
  <c r="N12" i="2" l="1"/>
  <c r="N13" i="2" s="1"/>
</calcChain>
</file>

<file path=xl/sharedStrings.xml><?xml version="1.0" encoding="utf-8"?>
<sst xmlns="http://schemas.openxmlformats.org/spreadsheetml/2006/main" count="73" uniqueCount="44">
  <si>
    <t>Year</t>
  </si>
  <si>
    <t>Profits</t>
  </si>
  <si>
    <t># of Customers</t>
  </si>
  <si>
    <t>Cont. Margin/Customer (excluding marketing costs)</t>
  </si>
  <si>
    <t>Total Margin</t>
  </si>
  <si>
    <t>Costs</t>
  </si>
  <si>
    <t>Acquisition Costs</t>
  </si>
  <si>
    <t>Existing Customer Communication Costs/Customer</t>
  </si>
  <si>
    <t>Total Costs</t>
  </si>
  <si>
    <t>Net Results</t>
  </si>
  <si>
    <t>Annual Profit</t>
  </si>
  <si>
    <t>Cum. Profit</t>
  </si>
  <si>
    <t>Cum. ROI</t>
  </si>
  <si>
    <t>Yr. Over Yr. Retention</t>
  </si>
  <si>
    <t>Avg. Acquisition Response Rate</t>
  </si>
  <si>
    <t>Year Over Retention Rate</t>
  </si>
  <si>
    <t>Average Value/Customer/Year</t>
  </si>
  <si>
    <t>Current Cost/Acquisition Package</t>
  </si>
  <si>
    <t>Current Communications Cost/existing Customer/Year</t>
  </si>
  <si>
    <t># of Acquisition Mailings planned:</t>
  </si>
  <si>
    <t>Assume Retention Rate increases by 2% from 85% to 87%</t>
  </si>
  <si>
    <t>Retention Rate</t>
  </si>
  <si>
    <t>ROI (5 Year)</t>
  </si>
  <si>
    <t>Cost of the progrm</t>
  </si>
  <si>
    <t>difference in profit if you apply the program</t>
  </si>
  <si>
    <t xml:space="preserve">Strategy </t>
  </si>
  <si>
    <t>Sample Size</t>
  </si>
  <si>
    <t>Response Rate</t>
  </si>
  <si>
    <t>A</t>
  </si>
  <si>
    <t>B</t>
  </si>
  <si>
    <t>95% CI for Startegy B</t>
  </si>
  <si>
    <t>Mean+2Std</t>
  </si>
  <si>
    <t>Mean-2Std</t>
  </si>
  <si>
    <t>Std</t>
  </si>
  <si>
    <t>Jan to June</t>
  </si>
  <si>
    <t>Pre-period</t>
  </si>
  <si>
    <t>Jul - Dec</t>
  </si>
  <si>
    <t>Post-period</t>
  </si>
  <si>
    <t>Total spend</t>
  </si>
  <si>
    <t>% change in spendign</t>
  </si>
  <si>
    <t>–Company A has identified 10,000 high value/high risk customers</t>
  </si>
  <si>
    <t>–This group has a current retention rate of 85%</t>
  </si>
  <si>
    <t>–This group on average had an annual value of $300</t>
  </si>
  <si>
    <t>–Company A had a budget of $50,000 ($5 per customer)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</si>
</sst>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0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9"/>
      <color rgb="FF000000"/>
      <name val="Calibri"/>
      <family val="2"/>
    </font>
    <font>
      <sz val="19"/>
      <color rgb="FF000000"/>
      <name val="Calibri"/>
      <family val="2"/>
    </font>
    <font>
      <sz val="18"/>
      <name val="Arial"/>
      <family val="2"/>
    </font>
    <font>
      <b/>
      <sz val="14"/>
      <name val="Calibri"/>
      <family val="2"/>
    </font>
    <font>
      <sz val="12"/>
      <name val="Calibri"/>
      <family val="2"/>
      <scheme val="minor"/>
    </font>
    <font>
      <sz val="14"/>
      <name val="Calibri"/>
      <family val="2"/>
    </font>
    <font>
      <sz val="16"/>
      <name val="Arial"/>
      <family val="2"/>
    </font>
    <font>
      <sz val="20"/>
      <name val="Calibri"/>
      <family val="2"/>
      <scheme val="minor"/>
    </font>
    <font>
      <b/>
      <sz val="2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BCC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thick">
        <color rgb="FFFFFFFF"/>
      </bottom>
      <diagonal/>
    </border>
    <border>
      <left style="medium">
        <color rgb="FFFFFFFF"/>
      </left>
      <right/>
      <top style="medium">
        <color rgb="FF000000"/>
      </top>
      <bottom style="thick">
        <color rgb="FFFFFFFF"/>
      </bottom>
      <diagonal/>
    </border>
    <border>
      <left/>
      <right/>
      <top style="medium">
        <color rgb="FF000000"/>
      </top>
      <bottom style="thick">
        <color rgb="FFFFFFFF"/>
      </bottom>
      <diagonal/>
    </border>
    <border>
      <left/>
      <right style="medium">
        <color rgb="FF000000"/>
      </right>
      <top style="medium">
        <color rgb="FF000000"/>
      </top>
      <bottom style="thick">
        <color rgb="FFFFFFFF"/>
      </bottom>
      <diagonal/>
    </border>
    <border>
      <left style="medium">
        <color rgb="FF000000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000000"/>
      </right>
      <top style="thick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ck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9" xfId="0" applyFont="1" applyFill="1" applyBorder="1" applyAlignment="1">
      <alignment horizontal="center" wrapText="1" readingOrder="1"/>
    </xf>
    <xf numFmtId="0" fontId="3" fillId="0" borderId="19" xfId="0" applyFont="1" applyBorder="1" applyAlignment="1">
      <alignment horizontal="center" wrapText="1" readingOrder="1"/>
    </xf>
    <xf numFmtId="3" fontId="3" fillId="0" borderId="19" xfId="0" applyNumberFormat="1" applyFont="1" applyBorder="1" applyAlignment="1">
      <alignment horizontal="center" wrapText="1" readingOrder="1"/>
    </xf>
    <xf numFmtId="10" fontId="3" fillId="0" borderId="19" xfId="0" applyNumberFormat="1" applyFont="1" applyBorder="1" applyAlignment="1">
      <alignment horizontal="center" wrapText="1" readingOrder="1"/>
    </xf>
    <xf numFmtId="165" fontId="0" fillId="0" borderId="0" xfId="0" applyNumberFormat="1"/>
    <xf numFmtId="0" fontId="4" fillId="0" borderId="1" xfId="0" applyFont="1" applyFill="1" applyBorder="1" applyAlignment="1">
      <alignment horizontal="center" readingOrder="1"/>
    </xf>
    <xf numFmtId="0" fontId="6" fillId="0" borderId="0" xfId="0" applyFont="1" applyFill="1" applyAlignment="1"/>
    <xf numFmtId="0" fontId="5" fillId="0" borderId="5" xfId="0" applyFont="1" applyFill="1" applyBorder="1" applyAlignment="1">
      <alignment horizontal="center" readingOrder="1"/>
    </xf>
    <xf numFmtId="0" fontId="5" fillId="0" borderId="6" xfId="0" applyFont="1" applyFill="1" applyBorder="1" applyAlignment="1">
      <alignment horizontal="center" readingOrder="1"/>
    </xf>
    <xf numFmtId="0" fontId="5" fillId="0" borderId="7" xfId="0" applyFont="1" applyFill="1" applyBorder="1" applyAlignment="1">
      <alignment horizontal="center" readingOrder="1"/>
    </xf>
    <xf numFmtId="0" fontId="7" fillId="0" borderId="8" xfId="0" applyFont="1" applyFill="1" applyBorder="1" applyAlignment="1">
      <alignment horizontal="left" readingOrder="1"/>
    </xf>
    <xf numFmtId="0" fontId="7" fillId="0" borderId="9" xfId="0" applyFont="1" applyFill="1" applyBorder="1" applyAlignment="1">
      <alignment horizontal="center" readingOrder="1"/>
    </xf>
    <xf numFmtId="0" fontId="7" fillId="0" borderId="10" xfId="0" applyFont="1" applyFill="1" applyBorder="1" applyAlignment="1">
      <alignment horizontal="center" readingOrder="1"/>
    </xf>
    <xf numFmtId="6" fontId="8" fillId="0" borderId="16" xfId="0" applyNumberFormat="1" applyFont="1" applyFill="1" applyBorder="1" applyAlignment="1">
      <alignment horizontal="center" wrapText="1" readingOrder="1"/>
    </xf>
    <xf numFmtId="6" fontId="7" fillId="0" borderId="9" xfId="0" applyNumberFormat="1" applyFont="1" applyFill="1" applyBorder="1" applyAlignment="1">
      <alignment horizontal="center" readingOrder="1"/>
    </xf>
    <xf numFmtId="0" fontId="5" fillId="0" borderId="8" xfId="0" applyFont="1" applyFill="1" applyBorder="1" applyAlignment="1">
      <alignment horizontal="center" readingOrder="1"/>
    </xf>
    <xf numFmtId="0" fontId="5" fillId="0" borderId="9" xfId="0" applyFont="1" applyFill="1" applyBorder="1" applyAlignment="1">
      <alignment horizontal="center" readingOrder="1"/>
    </xf>
    <xf numFmtId="0" fontId="5" fillId="0" borderId="10" xfId="0" applyFont="1" applyFill="1" applyBorder="1" applyAlignment="1">
      <alignment horizontal="center" readingOrder="1"/>
    </xf>
    <xf numFmtId="9" fontId="7" fillId="0" borderId="9" xfId="2" applyFont="1" applyFill="1" applyBorder="1" applyAlignment="1">
      <alignment horizontal="center" readingOrder="1"/>
    </xf>
    <xf numFmtId="0" fontId="5" fillId="0" borderId="11" xfId="0" applyFont="1" applyFill="1" applyBorder="1" applyAlignment="1">
      <alignment horizontal="center" readingOrder="1"/>
    </xf>
    <xf numFmtId="0" fontId="5" fillId="0" borderId="12" xfId="0" applyFont="1" applyFill="1" applyBorder="1" applyAlignment="1">
      <alignment horizontal="center" readingOrder="1"/>
    </xf>
    <xf numFmtId="0" fontId="5" fillId="0" borderId="13" xfId="0" applyFont="1" applyFill="1" applyBorder="1" applyAlignment="1">
      <alignment horizontal="center" readingOrder="1"/>
    </xf>
    <xf numFmtId="10" fontId="6" fillId="0" borderId="0" xfId="0" applyNumberFormat="1" applyFont="1" applyFill="1" applyAlignment="1"/>
    <xf numFmtId="0" fontId="8" fillId="0" borderId="14" xfId="0" applyFont="1" applyFill="1" applyBorder="1" applyAlignment="1">
      <alignment horizontal="center" wrapText="1" readingOrder="1"/>
    </xf>
    <xf numFmtId="10" fontId="8" fillId="0" borderId="14" xfId="0" applyNumberFormat="1" applyFont="1" applyFill="1" applyBorder="1" applyAlignment="1">
      <alignment horizontal="center" wrapText="1" readingOrder="1"/>
    </xf>
    <xf numFmtId="0" fontId="8" fillId="0" borderId="15" xfId="0" applyFont="1" applyFill="1" applyBorder="1" applyAlignment="1">
      <alignment horizontal="center" wrapText="1" readingOrder="1"/>
    </xf>
    <xf numFmtId="9" fontId="8" fillId="0" borderId="15" xfId="0" applyNumberFormat="1" applyFont="1" applyFill="1" applyBorder="1" applyAlignment="1">
      <alignment horizontal="center" wrapText="1" readingOrder="1"/>
    </xf>
    <xf numFmtId="0" fontId="8" fillId="0" borderId="16" xfId="0" applyFont="1" applyFill="1" applyBorder="1" applyAlignment="1">
      <alignment horizontal="center" wrapText="1" readingOrder="1"/>
    </xf>
    <xf numFmtId="6" fontId="8" fillId="0" borderId="14" xfId="0" applyNumberFormat="1" applyFont="1" applyFill="1" applyBorder="1" applyAlignment="1">
      <alignment horizontal="center" wrapText="1" readingOrder="1"/>
    </xf>
    <xf numFmtId="6" fontId="8" fillId="0" borderId="15" xfId="0" applyNumberFormat="1" applyFont="1" applyFill="1" applyBorder="1" applyAlignment="1">
      <alignment horizontal="center" wrapText="1" readingOrder="1"/>
    </xf>
    <xf numFmtId="0" fontId="4" fillId="0" borderId="1" xfId="0" applyFont="1" applyFill="1" applyBorder="1" applyAlignment="1">
      <alignment horizontal="center" wrapText="1" readingOrder="1"/>
    </xf>
    <xf numFmtId="0" fontId="5" fillId="0" borderId="0" xfId="0" applyFont="1" applyFill="1" applyBorder="1" applyAlignment="1">
      <alignment horizontal="center" readingOrder="1"/>
    </xf>
    <xf numFmtId="0" fontId="6" fillId="0" borderId="0" xfId="0" applyFont="1" applyFill="1"/>
    <xf numFmtId="0" fontId="5" fillId="0" borderId="5" xfId="0" applyFont="1" applyFill="1" applyBorder="1" applyAlignment="1">
      <alignment horizontal="center" wrapText="1" readingOrder="1"/>
    </xf>
    <xf numFmtId="0" fontId="5" fillId="0" borderId="17" xfId="0" applyFont="1" applyFill="1" applyBorder="1" applyAlignment="1">
      <alignment horizontal="left" wrapText="1" readingOrder="1"/>
    </xf>
    <xf numFmtId="0" fontId="5" fillId="0" borderId="18" xfId="0" applyFont="1" applyFill="1" applyBorder="1" applyAlignment="1">
      <alignment horizontal="center" readingOrder="1"/>
    </xf>
    <xf numFmtId="9" fontId="5" fillId="0" borderId="18" xfId="0" applyNumberFormat="1" applyFont="1" applyFill="1" applyBorder="1" applyAlignment="1">
      <alignment horizontal="center" readingOrder="1"/>
    </xf>
    <xf numFmtId="0" fontId="5" fillId="0" borderId="17" xfId="0" applyFont="1" applyFill="1" applyBorder="1" applyAlignment="1">
      <alignment horizontal="left" readingOrder="1"/>
    </xf>
    <xf numFmtId="0" fontId="7" fillId="0" borderId="8" xfId="0" applyFont="1" applyFill="1" applyBorder="1" applyAlignment="1">
      <alignment horizontal="left" wrapText="1" readingOrder="1"/>
    </xf>
    <xf numFmtId="1" fontId="7" fillId="0" borderId="10" xfId="0" applyNumberFormat="1" applyFont="1" applyFill="1" applyBorder="1" applyAlignment="1">
      <alignment horizontal="center" readingOrder="1"/>
    </xf>
    <xf numFmtId="1" fontId="7" fillId="0" borderId="9" xfId="0" applyNumberFormat="1" applyFont="1" applyFill="1" applyBorder="1" applyAlignment="1">
      <alignment horizontal="center" readingOrder="1"/>
    </xf>
    <xf numFmtId="0" fontId="5" fillId="0" borderId="8" xfId="0" applyFont="1" applyFill="1" applyBorder="1" applyAlignment="1">
      <alignment horizontal="center" wrapText="1" readingOrder="1"/>
    </xf>
    <xf numFmtId="44" fontId="7" fillId="0" borderId="9" xfId="1" applyFont="1" applyFill="1" applyBorder="1" applyAlignment="1">
      <alignment horizontal="center" readingOrder="1"/>
    </xf>
    <xf numFmtId="164" fontId="7" fillId="0" borderId="9" xfId="1" applyNumberFormat="1" applyFont="1" applyFill="1" applyBorder="1" applyAlignment="1">
      <alignment horizontal="center" readingOrder="1"/>
    </xf>
    <xf numFmtId="0" fontId="5" fillId="0" borderId="11" xfId="0" applyFont="1" applyFill="1" applyBorder="1" applyAlignment="1">
      <alignment horizontal="center" wrapText="1" readingOrder="1"/>
    </xf>
    <xf numFmtId="0" fontId="6" fillId="0" borderId="0" xfId="0" applyFont="1" applyFill="1" applyAlignment="1">
      <alignment wrapText="1"/>
    </xf>
    <xf numFmtId="44" fontId="6" fillId="0" borderId="0" xfId="0" applyNumberFormat="1" applyFont="1" applyFill="1"/>
    <xf numFmtId="0" fontId="9" fillId="0" borderId="0" xfId="0" applyFont="1" applyFill="1" applyAlignment="1">
      <alignment horizontal="left" vertical="center" wrapText="1" readingOrder="1"/>
    </xf>
    <xf numFmtId="44" fontId="6" fillId="0" borderId="0" xfId="1" applyFont="1" applyFill="1"/>
    <xf numFmtId="9" fontId="6" fillId="0" borderId="0" xfId="2" applyFont="1" applyFill="1"/>
    <xf numFmtId="0" fontId="10" fillId="0" borderId="0" xfId="0" applyFont="1" applyFill="1" applyAlignment="1">
      <alignment horizontal="left" vertical="center" wrapText="1" readingOrder="1"/>
    </xf>
    <xf numFmtId="0" fontId="5" fillId="0" borderId="2" xfId="0" applyFont="1" applyFill="1" applyBorder="1" applyAlignment="1">
      <alignment horizontal="center" readingOrder="1"/>
    </xf>
    <xf numFmtId="0" fontId="5" fillId="0" borderId="3" xfId="0" applyFont="1" applyFill="1" applyBorder="1" applyAlignment="1">
      <alignment horizontal="center" readingOrder="1"/>
    </xf>
    <xf numFmtId="0" fontId="5" fillId="0" borderId="4" xfId="0" applyFont="1" applyFill="1" applyBorder="1" applyAlignment="1">
      <alignment horizontal="center" readingOrder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78D8-7E4D-2B49-9917-52F3B19EC684}">
  <dimension ref="A1:E28"/>
  <sheetViews>
    <sheetView topLeftCell="A5" zoomScale="75" workbookViewId="0">
      <selection activeCell="B16" sqref="B16"/>
    </sheetView>
  </sheetViews>
  <sheetFormatPr defaultColWidth="10.83203125" defaultRowHeight="15.5" x14ac:dyDescent="0.35"/>
  <cols>
    <col min="1" max="1" width="51.33203125" style="7" customWidth="1"/>
    <col min="2" max="2" width="16.33203125" style="7" customWidth="1"/>
    <col min="3" max="3" width="13" style="7" customWidth="1"/>
    <col min="4" max="16384" width="10.83203125" style="7"/>
  </cols>
  <sheetData>
    <row r="1" spans="1:5" ht="23" thickBot="1" x14ac:dyDescent="0.5">
      <c r="A1" s="6"/>
      <c r="B1" s="52" t="s">
        <v>0</v>
      </c>
      <c r="C1" s="53"/>
      <c r="D1" s="53"/>
      <c r="E1" s="54"/>
    </row>
    <row r="2" spans="1:5" ht="19.5" thickTop="1" thickBot="1" x14ac:dyDescent="0.5">
      <c r="A2" s="8" t="s">
        <v>1</v>
      </c>
      <c r="B2" s="9">
        <v>1</v>
      </c>
      <c r="C2" s="9">
        <v>2</v>
      </c>
      <c r="D2" s="9">
        <v>3</v>
      </c>
      <c r="E2" s="10">
        <v>4</v>
      </c>
    </row>
    <row r="3" spans="1:5" ht="19" thickBot="1" x14ac:dyDescent="0.5">
      <c r="A3" s="11" t="s">
        <v>2</v>
      </c>
      <c r="B3" s="12">
        <f>B21*B28</f>
        <v>1500</v>
      </c>
      <c r="C3" s="12">
        <f>B3*B22</f>
        <v>1050</v>
      </c>
      <c r="D3" s="12">
        <f>B22*C3</f>
        <v>735</v>
      </c>
      <c r="E3" s="13">
        <f>B22*D3</f>
        <v>514.5</v>
      </c>
    </row>
    <row r="4" spans="1:5" ht="21" thickBot="1" x14ac:dyDescent="0.5">
      <c r="A4" s="11" t="s">
        <v>3</v>
      </c>
      <c r="B4" s="14">
        <v>50</v>
      </c>
      <c r="C4" s="14">
        <v>50</v>
      </c>
      <c r="D4" s="14">
        <v>50</v>
      </c>
      <c r="E4" s="14">
        <v>50</v>
      </c>
    </row>
    <row r="5" spans="1:5" ht="19" thickBot="1" x14ac:dyDescent="0.5">
      <c r="A5" s="11" t="s">
        <v>4</v>
      </c>
      <c r="B5" s="15">
        <f>B3*B4</f>
        <v>75000</v>
      </c>
      <c r="C5" s="15">
        <f t="shared" ref="C5:E5" si="0">C3*C4</f>
        <v>52500</v>
      </c>
      <c r="D5" s="15">
        <f t="shared" si="0"/>
        <v>36750</v>
      </c>
      <c r="E5" s="15">
        <f t="shared" si="0"/>
        <v>25725</v>
      </c>
    </row>
    <row r="6" spans="1:5" ht="19" thickBot="1" x14ac:dyDescent="0.5">
      <c r="A6" s="16" t="s">
        <v>5</v>
      </c>
      <c r="B6" s="17"/>
      <c r="C6" s="17"/>
      <c r="D6" s="17"/>
      <c r="E6" s="18"/>
    </row>
    <row r="7" spans="1:5" ht="19" thickBot="1" x14ac:dyDescent="0.5">
      <c r="A7" s="11" t="s">
        <v>6</v>
      </c>
      <c r="B7" s="15">
        <f>B28*B26</f>
        <v>100000</v>
      </c>
      <c r="C7" s="12">
        <v>0</v>
      </c>
      <c r="D7" s="12">
        <v>0</v>
      </c>
      <c r="E7" s="13">
        <v>0</v>
      </c>
    </row>
    <row r="8" spans="1:5" ht="19" thickBot="1" x14ac:dyDescent="0.5">
      <c r="A8" s="11" t="s">
        <v>7</v>
      </c>
      <c r="B8" s="12">
        <v>0</v>
      </c>
      <c r="C8" s="12">
        <v>3</v>
      </c>
      <c r="D8" s="12">
        <v>3</v>
      </c>
      <c r="E8" s="13">
        <v>3</v>
      </c>
    </row>
    <row r="9" spans="1:5" ht="19" thickBot="1" x14ac:dyDescent="0.5">
      <c r="A9" s="11" t="s">
        <v>8</v>
      </c>
      <c r="B9" s="15">
        <f>B7+B8</f>
        <v>100000</v>
      </c>
      <c r="C9" s="12">
        <f>C8*C3</f>
        <v>3150</v>
      </c>
      <c r="D9" s="12">
        <f t="shared" ref="D9:E9" si="1">D8*D3</f>
        <v>2205</v>
      </c>
      <c r="E9" s="12">
        <f t="shared" si="1"/>
        <v>1543.5</v>
      </c>
    </row>
    <row r="10" spans="1:5" ht="19" thickBot="1" x14ac:dyDescent="0.5">
      <c r="A10" s="16" t="s">
        <v>9</v>
      </c>
      <c r="B10" s="17"/>
      <c r="C10" s="17"/>
      <c r="D10" s="17"/>
      <c r="E10" s="18"/>
    </row>
    <row r="11" spans="1:5" ht="19" thickBot="1" x14ac:dyDescent="0.5">
      <c r="A11" s="11" t="s">
        <v>10</v>
      </c>
      <c r="B11" s="15">
        <f>B5-B9</f>
        <v>-25000</v>
      </c>
      <c r="C11" s="15">
        <f t="shared" ref="C11:E11" si="2">C5-C9</f>
        <v>49350</v>
      </c>
      <c r="D11" s="15">
        <f t="shared" si="2"/>
        <v>34545</v>
      </c>
      <c r="E11" s="15">
        <f t="shared" si="2"/>
        <v>24181.5</v>
      </c>
    </row>
    <row r="12" spans="1:5" ht="19" thickBot="1" x14ac:dyDescent="0.5">
      <c r="A12" s="11" t="s">
        <v>11</v>
      </c>
      <c r="B12" s="15">
        <f>B11</f>
        <v>-25000</v>
      </c>
      <c r="C12" s="15">
        <f>C11+B12</f>
        <v>24350</v>
      </c>
      <c r="D12" s="15">
        <f t="shared" ref="D12" si="3">D11+C12</f>
        <v>58895</v>
      </c>
      <c r="E12" s="15">
        <f>E11+D12</f>
        <v>83076.5</v>
      </c>
    </row>
    <row r="13" spans="1:5" ht="19" thickBot="1" x14ac:dyDescent="0.5">
      <c r="A13" s="11" t="s">
        <v>12</v>
      </c>
      <c r="B13" s="19">
        <f>B12/$B$7</f>
        <v>-0.25</v>
      </c>
      <c r="C13" s="19">
        <f t="shared" ref="C13:E13" si="4">C12/$B$7</f>
        <v>0.24349999999999999</v>
      </c>
      <c r="D13" s="19">
        <f t="shared" si="4"/>
        <v>0.58894999999999997</v>
      </c>
      <c r="E13" s="19">
        <f t="shared" si="4"/>
        <v>0.83076499999999998</v>
      </c>
    </row>
    <row r="14" spans="1:5" ht="19" thickBot="1" x14ac:dyDescent="0.5">
      <c r="A14" s="20" t="s">
        <v>13</v>
      </c>
      <c r="B14" s="21"/>
      <c r="C14" s="21"/>
      <c r="D14" s="21"/>
      <c r="E14" s="22"/>
    </row>
    <row r="19" spans="1:2" x14ac:dyDescent="0.35">
      <c r="B19" s="23"/>
    </row>
    <row r="20" spans="1:2" ht="16" thickBot="1" x14ac:dyDescent="0.4"/>
    <row r="21" spans="1:2" ht="20.5" thickBot="1" x14ac:dyDescent="0.45">
      <c r="A21" s="24" t="s">
        <v>14</v>
      </c>
      <c r="B21" s="25">
        <v>1.4999999999999999E-2</v>
      </c>
    </row>
    <row r="22" spans="1:2" ht="21" thickTop="1" thickBot="1" x14ac:dyDescent="0.45">
      <c r="A22" s="26" t="s">
        <v>15</v>
      </c>
      <c r="B22" s="27">
        <v>0.7</v>
      </c>
    </row>
    <row r="23" spans="1:2" ht="20.5" thickBot="1" x14ac:dyDescent="0.45">
      <c r="A23" s="28" t="s">
        <v>16</v>
      </c>
      <c r="B23" s="14">
        <v>50</v>
      </c>
    </row>
    <row r="25" spans="1:2" ht="16" thickBot="1" x14ac:dyDescent="0.4"/>
    <row r="26" spans="1:2" ht="20.5" thickBot="1" x14ac:dyDescent="0.45">
      <c r="A26" s="24" t="s">
        <v>17</v>
      </c>
      <c r="B26" s="29">
        <v>1</v>
      </c>
    </row>
    <row r="27" spans="1:2" ht="41" thickTop="1" thickBot="1" x14ac:dyDescent="0.45">
      <c r="A27" s="26" t="s">
        <v>18</v>
      </c>
      <c r="B27" s="30">
        <v>3</v>
      </c>
    </row>
    <row r="28" spans="1:2" ht="20.5" thickBot="1" x14ac:dyDescent="0.45">
      <c r="A28" s="28" t="s">
        <v>19</v>
      </c>
      <c r="B28" s="28">
        <v>100000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8381-D5B9-204B-8A9E-7BA1D7BD2D9B}">
  <dimension ref="A1:N30"/>
  <sheetViews>
    <sheetView tabSelected="1" topLeftCell="B3" zoomScale="67" workbookViewId="0">
      <selection activeCell="G23" sqref="G23"/>
    </sheetView>
  </sheetViews>
  <sheetFormatPr defaultColWidth="10.6640625" defaultRowHeight="15.5" x14ac:dyDescent="0.35"/>
  <cols>
    <col min="1" max="1" width="51.83203125" style="46" customWidth="1"/>
    <col min="2" max="6" width="22.5" style="33" customWidth="1"/>
    <col min="7" max="7" width="12.5" style="33" bestFit="1" customWidth="1"/>
    <col min="8" max="8" width="10.6640625" style="33"/>
    <col min="9" max="9" width="29.33203125" style="33" customWidth="1"/>
    <col min="10" max="10" width="19" style="33" customWidth="1"/>
    <col min="11" max="11" width="16.33203125" style="33" customWidth="1"/>
    <col min="12" max="13" width="17" style="33" bestFit="1" customWidth="1"/>
    <col min="14" max="14" width="17.1640625" style="33" customWidth="1"/>
    <col min="15" max="16384" width="10.6640625" style="33"/>
  </cols>
  <sheetData>
    <row r="1" spans="1:14" ht="23" thickBot="1" x14ac:dyDescent="0.5">
      <c r="A1" s="31"/>
      <c r="B1" s="52" t="s">
        <v>0</v>
      </c>
      <c r="C1" s="53"/>
      <c r="D1" s="53"/>
      <c r="E1" s="54"/>
      <c r="F1" s="32"/>
      <c r="I1" s="6"/>
      <c r="J1" s="52" t="s">
        <v>0</v>
      </c>
      <c r="K1" s="53"/>
      <c r="L1" s="53"/>
      <c r="M1" s="54"/>
      <c r="N1" s="32"/>
    </row>
    <row r="2" spans="1:14" ht="19.5" thickTop="1" thickBot="1" x14ac:dyDescent="0.5">
      <c r="A2" s="34" t="s">
        <v>1</v>
      </c>
      <c r="B2" s="9">
        <v>1</v>
      </c>
      <c r="C2" s="9">
        <v>2</v>
      </c>
      <c r="D2" s="9">
        <v>3</v>
      </c>
      <c r="E2" s="10">
        <v>4</v>
      </c>
      <c r="F2" s="10">
        <v>5</v>
      </c>
      <c r="I2" s="8" t="s">
        <v>1</v>
      </c>
      <c r="J2" s="9">
        <v>1</v>
      </c>
      <c r="K2" s="9">
        <v>2</v>
      </c>
      <c r="L2" s="9">
        <v>3</v>
      </c>
      <c r="M2" s="10">
        <v>4</v>
      </c>
      <c r="N2" s="10">
        <v>5</v>
      </c>
    </row>
    <row r="3" spans="1:14" ht="19" thickBot="1" x14ac:dyDescent="0.5">
      <c r="A3" s="35" t="s">
        <v>21</v>
      </c>
      <c r="B3" s="36"/>
      <c r="C3" s="37">
        <v>0.85</v>
      </c>
      <c r="D3" s="37">
        <v>0.85</v>
      </c>
      <c r="E3" s="37">
        <v>0.85</v>
      </c>
      <c r="F3" s="37">
        <v>0.85</v>
      </c>
      <c r="I3" s="38" t="s">
        <v>21</v>
      </c>
      <c r="J3" s="36"/>
      <c r="K3" s="37">
        <v>0.87</v>
      </c>
      <c r="L3" s="37">
        <v>0.87</v>
      </c>
      <c r="M3" s="37">
        <v>0.87</v>
      </c>
      <c r="N3" s="37">
        <v>0.87</v>
      </c>
    </row>
    <row r="4" spans="1:14" ht="19" thickBot="1" x14ac:dyDescent="0.5">
      <c r="A4" s="39" t="s">
        <v>2</v>
      </c>
      <c r="B4" s="12">
        <f>10000</f>
        <v>10000</v>
      </c>
      <c r="C4" s="12">
        <f>B4*C3</f>
        <v>8500</v>
      </c>
      <c r="D4" s="12">
        <f>D3*C4</f>
        <v>7225</v>
      </c>
      <c r="E4" s="40">
        <f>E3*D4</f>
        <v>6141.25</v>
      </c>
      <c r="F4" s="40">
        <f>F3*E4</f>
        <v>5220.0625</v>
      </c>
      <c r="I4" s="11" t="s">
        <v>2</v>
      </c>
      <c r="J4" s="12">
        <f>10000</f>
        <v>10000</v>
      </c>
      <c r="K4" s="12">
        <f>J4*K3</f>
        <v>8700</v>
      </c>
      <c r="L4" s="12">
        <f>L3*K4</f>
        <v>7569</v>
      </c>
      <c r="M4" s="40">
        <f>M3*L4</f>
        <v>6585.03</v>
      </c>
      <c r="N4" s="40">
        <f>N3*M4</f>
        <v>5728.9760999999999</v>
      </c>
    </row>
    <row r="5" spans="1:14" ht="19" thickBot="1" x14ac:dyDescent="0.5">
      <c r="A5" s="39" t="s">
        <v>3</v>
      </c>
      <c r="B5" s="12">
        <v>300</v>
      </c>
      <c r="C5" s="17">
        <v>300</v>
      </c>
      <c r="D5" s="12">
        <v>300</v>
      </c>
      <c r="E5" s="17">
        <v>300</v>
      </c>
      <c r="F5" s="12">
        <v>300</v>
      </c>
      <c r="I5" s="11" t="s">
        <v>3</v>
      </c>
      <c r="J5" s="12">
        <v>300</v>
      </c>
      <c r="K5" s="17">
        <v>300</v>
      </c>
      <c r="L5" s="12">
        <v>300</v>
      </c>
      <c r="M5" s="17">
        <v>300</v>
      </c>
      <c r="N5" s="12">
        <v>300</v>
      </c>
    </row>
    <row r="6" spans="1:14" ht="19" thickBot="1" x14ac:dyDescent="0.5">
      <c r="A6" s="39" t="s">
        <v>4</v>
      </c>
      <c r="B6" s="12">
        <f>B4*B5</f>
        <v>3000000</v>
      </c>
      <c r="C6" s="12">
        <f>C4*C5</f>
        <v>2550000</v>
      </c>
      <c r="D6" s="12">
        <f t="shared" ref="D6:F6" si="0">D4*D5</f>
        <v>2167500</v>
      </c>
      <c r="E6" s="12">
        <f t="shared" si="0"/>
        <v>1842375</v>
      </c>
      <c r="F6" s="41">
        <f t="shared" si="0"/>
        <v>1566018.75</v>
      </c>
      <c r="I6" s="11" t="s">
        <v>4</v>
      </c>
      <c r="J6" s="12">
        <f>J4*J5</f>
        <v>3000000</v>
      </c>
      <c r="K6" s="12">
        <f>K4*K5</f>
        <v>2610000</v>
      </c>
      <c r="L6" s="12">
        <f t="shared" ref="L6" si="1">L4*L5</f>
        <v>2270700</v>
      </c>
      <c r="M6" s="12">
        <f t="shared" ref="M6" si="2">M4*M5</f>
        <v>1975509</v>
      </c>
      <c r="N6" s="41">
        <f t="shared" ref="N6" si="3">N4*N5</f>
        <v>1718692.83</v>
      </c>
    </row>
    <row r="7" spans="1:14" ht="19" thickBot="1" x14ac:dyDescent="0.5">
      <c r="A7" s="42" t="s">
        <v>5</v>
      </c>
      <c r="B7" s="17"/>
      <c r="C7" s="17"/>
      <c r="D7" s="17"/>
      <c r="E7" s="18"/>
      <c r="F7" s="18"/>
      <c r="I7" s="16" t="s">
        <v>5</v>
      </c>
      <c r="J7" s="17"/>
      <c r="K7" s="17"/>
      <c r="L7" s="17"/>
      <c r="M7" s="18"/>
      <c r="N7" s="18"/>
    </row>
    <row r="8" spans="1:14" ht="19" thickBot="1" x14ac:dyDescent="0.5">
      <c r="A8" s="39" t="s">
        <v>6</v>
      </c>
      <c r="B8" s="12"/>
      <c r="C8" s="12"/>
      <c r="D8" s="12"/>
      <c r="E8" s="13"/>
      <c r="F8" s="13"/>
      <c r="I8" s="11" t="s">
        <v>6</v>
      </c>
      <c r="J8" s="12"/>
      <c r="K8" s="12"/>
      <c r="L8" s="12"/>
      <c r="M8" s="13"/>
      <c r="N8" s="13"/>
    </row>
    <row r="9" spans="1:14" ht="19" thickBot="1" x14ac:dyDescent="0.5">
      <c r="A9" s="39" t="s">
        <v>7</v>
      </c>
      <c r="B9" s="12"/>
      <c r="C9" s="12"/>
      <c r="D9" s="12"/>
      <c r="E9" s="13"/>
      <c r="F9" s="13"/>
      <c r="I9" s="11" t="s">
        <v>7</v>
      </c>
      <c r="J9" s="12">
        <v>5</v>
      </c>
      <c r="K9" s="12">
        <v>5</v>
      </c>
      <c r="L9" s="12">
        <v>5</v>
      </c>
      <c r="M9" s="12">
        <v>5</v>
      </c>
      <c r="N9" s="12">
        <v>5</v>
      </c>
    </row>
    <row r="10" spans="1:14" ht="19" thickBot="1" x14ac:dyDescent="0.5">
      <c r="A10" s="39" t="s">
        <v>8</v>
      </c>
      <c r="B10" s="12"/>
      <c r="C10" s="12"/>
      <c r="D10" s="12"/>
      <c r="E10" s="13"/>
      <c r="F10" s="13"/>
      <c r="I10" s="11" t="s">
        <v>8</v>
      </c>
      <c r="J10" s="41">
        <f>J4*J9</f>
        <v>50000</v>
      </c>
      <c r="K10" s="41">
        <f t="shared" ref="K10:N10" si="4">K4*K9</f>
        <v>43500</v>
      </c>
      <c r="L10" s="41">
        <f t="shared" si="4"/>
        <v>37845</v>
      </c>
      <c r="M10" s="41">
        <f t="shared" si="4"/>
        <v>32925.15</v>
      </c>
      <c r="N10" s="41">
        <f t="shared" si="4"/>
        <v>28644.880499999999</v>
      </c>
    </row>
    <row r="11" spans="1:14" ht="19" thickBot="1" x14ac:dyDescent="0.5">
      <c r="A11" s="42" t="s">
        <v>9</v>
      </c>
      <c r="B11" s="17"/>
      <c r="C11" s="17"/>
      <c r="D11" s="17"/>
      <c r="E11" s="18"/>
      <c r="F11" s="18"/>
      <c r="I11" s="16" t="s">
        <v>9</v>
      </c>
      <c r="J11" s="17"/>
      <c r="K11" s="17"/>
      <c r="L11" s="17"/>
      <c r="M11" s="18"/>
      <c r="N11" s="18"/>
    </row>
    <row r="12" spans="1:14" ht="19" thickBot="1" x14ac:dyDescent="0.5">
      <c r="A12" s="39" t="s">
        <v>10</v>
      </c>
      <c r="B12" s="43">
        <f>B6</f>
        <v>3000000</v>
      </c>
      <c r="C12" s="43">
        <f t="shared" ref="C12:F12" si="5">C6</f>
        <v>2550000</v>
      </c>
      <c r="D12" s="43">
        <f t="shared" si="5"/>
        <v>2167500</v>
      </c>
      <c r="E12" s="43">
        <f t="shared" si="5"/>
        <v>1842375</v>
      </c>
      <c r="F12" s="43">
        <f t="shared" si="5"/>
        <v>1566018.75</v>
      </c>
      <c r="I12" s="11" t="s">
        <v>10</v>
      </c>
      <c r="J12" s="44">
        <f>J6-J10</f>
        <v>2950000</v>
      </c>
      <c r="K12" s="44">
        <f>K6-K10</f>
        <v>2566500</v>
      </c>
      <c r="L12" s="44">
        <f t="shared" ref="L12:N12" si="6">L6-L10</f>
        <v>2232855</v>
      </c>
      <c r="M12" s="44">
        <f t="shared" si="6"/>
        <v>1942583.85</v>
      </c>
      <c r="N12" s="44">
        <f t="shared" si="6"/>
        <v>1690047.9495000001</v>
      </c>
    </row>
    <row r="13" spans="1:14" ht="19" thickBot="1" x14ac:dyDescent="0.5">
      <c r="A13" s="39" t="s">
        <v>11</v>
      </c>
      <c r="B13" s="43">
        <f>B12</f>
        <v>3000000</v>
      </c>
      <c r="C13" s="43">
        <f>C12+B13</f>
        <v>5550000</v>
      </c>
      <c r="D13" s="43">
        <f t="shared" ref="D13:F13" si="7">D12+C13</f>
        <v>7717500</v>
      </c>
      <c r="E13" s="43">
        <f t="shared" si="7"/>
        <v>9559875</v>
      </c>
      <c r="F13" s="43">
        <f t="shared" si="7"/>
        <v>11125893.75</v>
      </c>
      <c r="I13" s="11" t="s">
        <v>11</v>
      </c>
      <c r="J13" s="44">
        <f>J12</f>
        <v>2950000</v>
      </c>
      <c r="K13" s="44">
        <f>K12+J13</f>
        <v>5516500</v>
      </c>
      <c r="L13" s="44">
        <f t="shared" ref="L13:N13" si="8">L12+K13</f>
        <v>7749355</v>
      </c>
      <c r="M13" s="44">
        <f t="shared" si="8"/>
        <v>9691938.8499999996</v>
      </c>
      <c r="N13" s="44">
        <f t="shared" si="8"/>
        <v>11381986.7995</v>
      </c>
    </row>
    <row r="14" spans="1:14" ht="19" thickBot="1" x14ac:dyDescent="0.5">
      <c r="A14" s="39" t="s">
        <v>12</v>
      </c>
      <c r="B14" s="12"/>
      <c r="C14" s="12"/>
      <c r="D14" s="12"/>
      <c r="E14" s="13"/>
      <c r="F14" s="13"/>
      <c r="I14" s="11" t="s">
        <v>12</v>
      </c>
      <c r="J14" s="12"/>
      <c r="K14" s="12"/>
      <c r="L14" s="12"/>
      <c r="M14" s="13"/>
      <c r="N14" s="13"/>
    </row>
    <row r="15" spans="1:14" ht="19" thickBot="1" x14ac:dyDescent="0.5">
      <c r="A15" s="45" t="s">
        <v>13</v>
      </c>
      <c r="B15" s="21"/>
      <c r="C15" s="21"/>
      <c r="D15" s="21"/>
      <c r="E15" s="22"/>
      <c r="F15" s="22"/>
      <c r="I15" s="20" t="s">
        <v>13</v>
      </c>
      <c r="J15" s="21"/>
      <c r="K15" s="21"/>
      <c r="L15" s="21"/>
      <c r="M15" s="22"/>
      <c r="N15" s="22"/>
    </row>
    <row r="21" spans="1:9" ht="31" x14ac:dyDescent="0.35">
      <c r="F21" s="46" t="s">
        <v>24</v>
      </c>
      <c r="G21" s="47">
        <f>N13-F13</f>
        <v>256093.04949999973</v>
      </c>
    </row>
    <row r="22" spans="1:9" ht="52" x14ac:dyDescent="0.35">
      <c r="A22" s="48" t="s">
        <v>40</v>
      </c>
      <c r="F22" s="46" t="s">
        <v>23</v>
      </c>
      <c r="G22" s="49">
        <f>SUM(J10:N10)</f>
        <v>192915.03049999999</v>
      </c>
      <c r="H22" s="33" t="s">
        <v>22</v>
      </c>
      <c r="I22" s="50">
        <f>G21/G22</f>
        <v>1.3274914289273057</v>
      </c>
    </row>
    <row r="23" spans="1:9" ht="52" x14ac:dyDescent="0.35">
      <c r="A23" s="48" t="s">
        <v>41</v>
      </c>
    </row>
    <row r="24" spans="1:9" ht="52" x14ac:dyDescent="0.35">
      <c r="A24" s="48" t="s">
        <v>42</v>
      </c>
      <c r="G24" s="47">
        <f>L13-D13</f>
        <v>31855</v>
      </c>
    </row>
    <row r="25" spans="1:9" ht="52" x14ac:dyDescent="0.35">
      <c r="A25" s="48" t="s">
        <v>43</v>
      </c>
      <c r="G25" s="49">
        <f>SUM(J10:L10)</f>
        <v>131345</v>
      </c>
      <c r="I25" s="50">
        <f>G24/G25</f>
        <v>0.24252921694773308</v>
      </c>
    </row>
    <row r="30" spans="1:9" ht="52" x14ac:dyDescent="0.35">
      <c r="A30" s="51" t="s">
        <v>20</v>
      </c>
    </row>
  </sheetData>
  <mergeCells count="2">
    <mergeCell ref="B1:E1"/>
    <mergeCell ref="J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1ECC-1094-5C43-8622-5998F5B8E1EB}">
  <dimension ref="A1:C24"/>
  <sheetViews>
    <sheetView zoomScale="101" zoomScaleNormal="112" workbookViewId="0">
      <selection activeCell="A17" sqref="A17"/>
    </sheetView>
  </sheetViews>
  <sheetFormatPr defaultColWidth="10.6640625" defaultRowHeight="15.5" x14ac:dyDescent="0.35"/>
  <cols>
    <col min="1" max="1" width="18.1640625" customWidth="1"/>
    <col min="2" max="4" width="16.5" customWidth="1"/>
  </cols>
  <sheetData>
    <row r="1" spans="1:3" ht="49" x14ac:dyDescent="0.55000000000000004">
      <c r="A1" s="1" t="s">
        <v>25</v>
      </c>
      <c r="B1" s="1" t="s">
        <v>26</v>
      </c>
      <c r="C1" s="1" t="s">
        <v>27</v>
      </c>
    </row>
    <row r="2" spans="1:3" ht="24.5" x14ac:dyDescent="0.55000000000000004">
      <c r="A2" s="2" t="s">
        <v>28</v>
      </c>
      <c r="B2" s="3">
        <v>10000</v>
      </c>
      <c r="C2" s="4">
        <v>2.3E-2</v>
      </c>
    </row>
    <row r="3" spans="1:3" ht="24.5" x14ac:dyDescent="0.55000000000000004">
      <c r="A3" s="2" t="s">
        <v>29</v>
      </c>
      <c r="B3" s="3">
        <v>5000</v>
      </c>
      <c r="C3" s="4">
        <v>0.02</v>
      </c>
    </row>
    <row r="8" spans="1:3" x14ac:dyDescent="0.35">
      <c r="A8" t="s">
        <v>30</v>
      </c>
      <c r="B8" s="5">
        <f>C3+2*A11</f>
        <v>2.3960000000000002E-2</v>
      </c>
      <c r="C8" t="s">
        <v>31</v>
      </c>
    </row>
    <row r="9" spans="1:3" x14ac:dyDescent="0.35">
      <c r="B9" s="5">
        <f>C3-2*A11</f>
        <v>1.6039999999999999E-2</v>
      </c>
      <c r="C9" t="s">
        <v>32</v>
      </c>
    </row>
    <row r="10" spans="1:3" x14ac:dyDescent="0.35">
      <c r="A10" t="s">
        <v>33</v>
      </c>
    </row>
    <row r="11" spans="1:3" x14ac:dyDescent="0.35">
      <c r="A11">
        <f>0.00198</f>
        <v>1.98E-3</v>
      </c>
    </row>
    <row r="19" spans="1:3" x14ac:dyDescent="0.35">
      <c r="C19" t="s">
        <v>38</v>
      </c>
    </row>
    <row r="20" spans="1:3" x14ac:dyDescent="0.35">
      <c r="A20" t="s">
        <v>34</v>
      </c>
      <c r="B20" t="s">
        <v>35</v>
      </c>
      <c r="C20">
        <v>300</v>
      </c>
    </row>
    <row r="21" spans="1:3" x14ac:dyDescent="0.35">
      <c r="A21" t="s">
        <v>36</v>
      </c>
      <c r="B21" t="s">
        <v>37</v>
      </c>
      <c r="C21">
        <v>150</v>
      </c>
    </row>
    <row r="24" spans="1:3" x14ac:dyDescent="0.35">
      <c r="A24" t="s">
        <v>39</v>
      </c>
      <c r="B24">
        <f>(150-300)/((300+150)/2)</f>
        <v>-0.66666666666666663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Mozhgan Salimiparsa</dc:creator>
  <cp:lastModifiedBy>ADMIN</cp:lastModifiedBy>
  <dcterms:created xsi:type="dcterms:W3CDTF">2025-08-05T12:33:25Z</dcterms:created>
  <dcterms:modified xsi:type="dcterms:W3CDTF">2025-08-15T22:38:07Z</dcterms:modified>
</cp:coreProperties>
</file>